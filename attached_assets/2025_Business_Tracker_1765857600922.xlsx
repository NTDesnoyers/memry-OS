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mc:AlternateContent xmlns:mc="http://schemas.openxmlformats.org/markup-compatibility/2006">
    <mc:Choice Requires="x15">
      <x15ac:absPath xmlns:x15ac="http://schemas.microsoft.com/office/spreadsheetml/2010/11/ac" url="/Users/nathandesnoyers/Library/Mobile Documents/com~apple~CloudDocs/Real Estate/Business Trackers/"/>
    </mc:Choice>
  </mc:AlternateContent>
  <xr:revisionPtr revIDLastSave="0" documentId="13_ncr:1_{F5204D5A-8067-3348-9463-F949B08D2032}" xr6:coauthVersionLast="47" xr6:coauthVersionMax="47" xr10:uidLastSave="{00000000-0000-0000-0000-000000000000}"/>
  <bookViews>
    <workbookView xWindow="0" yWindow="0" windowWidth="40960" windowHeight="23040" tabRatio="784" activeTab="4" xr2:uid="{09458F60-BD54-4365-8563-3AB607DC9D4A}"/>
  </bookViews>
  <sheets>
    <sheet name="Goals &amp; Fees" sheetId="32" r:id="rId1"/>
    <sheet name="Business Tracker" sheetId="27" r:id="rId2"/>
    <sheet name="Closed Transactions" sheetId="20" r:id="rId3"/>
    <sheet name="YTD Summary" sheetId="26" r:id="rId4"/>
    <sheet name="PIE Tracker" sheetId="30" r:id="rId5"/>
    <sheet name="PIE YTD-Overview" sheetId="21" r:id="rId6"/>
    <sheet name="PIE Planner" sheetId="24" r:id="rId7"/>
    <sheet name="RE Reviews" sheetId="34" r:id="rId8"/>
    <sheet name="Post Closing Calls" sheetId="23" r:id="rId9"/>
    <sheet name="Fee calc_closed Transactions" sheetId="33" state="hidden" r:id="rId10"/>
    <sheet name="Budget" sheetId="22" r:id="rId11"/>
    <sheet name="Real Estate Needs" sheetId="28" r:id="rId12"/>
    <sheet name="Instructions" sheetId="29" r:id="rId13"/>
  </sheets>
  <definedNames>
    <definedName name="_Hlk178865892" localSheetId="12">Instructions!$E$57</definedName>
    <definedName name="AprPie">'PIE Tracker'!$V$3:$Z$34</definedName>
    <definedName name="FEBpie">'PIE Tracker'!$H$3:$M$34</definedName>
    <definedName name="JANPIE">'PIE Tracker'!$A$3:$F$34</definedName>
    <definedName name="MARPIE">'PIE Tracker'!$O$3:$T$34</definedName>
    <definedName name="_xlnm.Print_Area" localSheetId="10">Budget!$A$1:$J$27</definedName>
    <definedName name="_xlnm.Print_Area" localSheetId="1">'Business Tracker'!$A$1:$AF$70</definedName>
    <definedName name="_xlnm.Print_Area" localSheetId="2">'Closed Transactions'!$A$2:$N$67</definedName>
    <definedName name="_xlnm.Print_Area" localSheetId="12">Instructions!$A$2:$L$147</definedName>
    <definedName name="_xlnm.Print_Area" localSheetId="4">'PIE Tracker'!$A$3:$N$34</definedName>
    <definedName name="_xlnm.Print_Area" localSheetId="5">'PIE YTD-Overview'!$B$2:$S$61</definedName>
    <definedName name="_xlnm.Print_Area" localSheetId="8">'Post Closing Calls'!$A$1:$N$57</definedName>
    <definedName name="_xlnm.Print_Area" localSheetId="3">'YTD Summary'!$A$1:$O$14</definedName>
    <definedName name="_xlnm.Print_Titles" localSheetId="1">'Business Tracker'!$1:$5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20" l="1"/>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P55" i="20"/>
  <c r="P56" i="20"/>
  <c r="P57" i="20"/>
  <c r="P58" i="20"/>
  <c r="P59" i="20"/>
  <c r="P60" i="20"/>
  <c r="P61" i="20"/>
  <c r="P62" i="20"/>
  <c r="P63" i="20"/>
  <c r="P64" i="20"/>
  <c r="P3" i="20"/>
  <c r="S68" i="27"/>
  <c r="L68" i="27"/>
  <c r="Q20" i="33"/>
  <c r="Q21" i="33"/>
  <c r="Q22" i="33"/>
  <c r="Q23" i="33"/>
  <c r="Q24" i="33"/>
  <c r="Q25" i="33"/>
  <c r="Q26" i="33"/>
  <c r="Q27" i="33"/>
  <c r="Q28" i="33"/>
  <c r="Q29" i="33"/>
  <c r="Q30" i="33"/>
  <c r="Q31" i="33"/>
  <c r="Q32" i="33"/>
  <c r="Q33" i="33"/>
  <c r="Q34" i="33"/>
  <c r="Q35" i="33"/>
  <c r="Q36" i="33"/>
  <c r="Q37" i="33"/>
  <c r="Q38" i="33"/>
  <c r="Q39" i="33"/>
  <c r="Q40" i="33"/>
  <c r="Q41" i="33"/>
  <c r="Q42" i="33"/>
  <c r="Q43" i="33"/>
  <c r="Q44" i="33"/>
  <c r="Q45" i="33"/>
  <c r="Q46" i="33"/>
  <c r="Q47" i="33"/>
  <c r="Q48" i="33"/>
  <c r="Q49" i="33"/>
  <c r="Q50" i="33"/>
  <c r="Q51" i="33"/>
  <c r="Q52" i="33"/>
  <c r="Q54" i="33"/>
  <c r="Q55" i="33"/>
  <c r="Q56" i="33"/>
  <c r="Q57" i="33"/>
  <c r="Q58" i="33"/>
  <c r="Q59" i="33"/>
  <c r="Q60" i="33"/>
  <c r="Q61" i="33"/>
  <c r="Q62" i="33"/>
  <c r="Q63" i="33"/>
  <c r="Q64" i="33"/>
  <c r="B39" i="33"/>
  <c r="B38" i="33"/>
  <c r="B37" i="33"/>
  <c r="B36" i="33"/>
  <c r="B35" i="33"/>
  <c r="A40" i="33"/>
  <c r="A39" i="33"/>
  <c r="A38" i="33"/>
  <c r="A37" i="33"/>
  <c r="A36" i="33"/>
  <c r="A35" i="33"/>
  <c r="G7" i="27"/>
  <c r="G8" i="27"/>
  <c r="G9" i="27"/>
  <c r="G10" i="27"/>
  <c r="G11" i="27"/>
  <c r="G12" i="27"/>
  <c r="G13" i="27"/>
  <c r="G14" i="27"/>
  <c r="G15" i="27"/>
  <c r="G16" i="27"/>
  <c r="G17" i="27"/>
  <c r="G18" i="27"/>
  <c r="G19" i="27"/>
  <c r="G20" i="27"/>
  <c r="G21" i="27"/>
  <c r="G22" i="27"/>
  <c r="G23" i="27"/>
  <c r="G24" i="27"/>
  <c r="G25" i="27"/>
  <c r="G26" i="27"/>
  <c r="G27" i="27"/>
  <c r="G28" i="27"/>
  <c r="G29" i="27"/>
  <c r="G30" i="27"/>
  <c r="G31" i="27"/>
  <c r="G32" i="27"/>
  <c r="G33" i="27"/>
  <c r="G34" i="27"/>
  <c r="G35" i="27"/>
  <c r="G36" i="27"/>
  <c r="G37" i="27"/>
  <c r="G38" i="27"/>
  <c r="G39" i="27"/>
  <c r="G40" i="27"/>
  <c r="G41" i="27"/>
  <c r="G42" i="27"/>
  <c r="G43" i="27"/>
  <c r="G44" i="27"/>
  <c r="G45" i="27"/>
  <c r="G46" i="27"/>
  <c r="G47" i="27"/>
  <c r="G48" i="27"/>
  <c r="G49" i="27"/>
  <c r="G50" i="27"/>
  <c r="G51" i="27"/>
  <c r="G52" i="27"/>
  <c r="G53" i="27"/>
  <c r="G54" i="27"/>
  <c r="G55" i="27"/>
  <c r="G56" i="27"/>
  <c r="G57" i="27"/>
  <c r="G58" i="27"/>
  <c r="G59" i="27"/>
  <c r="G60" i="27"/>
  <c r="G61" i="27"/>
  <c r="G62" i="27"/>
  <c r="G63" i="27"/>
  <c r="G64" i="27"/>
  <c r="G65" i="27"/>
  <c r="G66" i="27"/>
  <c r="G67" i="27"/>
  <c r="G6" i="27"/>
  <c r="AH15" i="30"/>
  <c r="AH14" i="30"/>
  <c r="AH13" i="30"/>
  <c r="AH12" i="30"/>
  <c r="AH11" i="30"/>
  <c r="AH10" i="30"/>
  <c r="AH9" i="30"/>
  <c r="AH8" i="30"/>
  <c r="AH7" i="30"/>
  <c r="AH6" i="30"/>
  <c r="AH5" i="30"/>
  <c r="AH4" i="30"/>
  <c r="Q53" i="20" l="1"/>
  <c r="R53" i="20"/>
  <c r="S53" i="20"/>
  <c r="T53" i="20"/>
  <c r="U53" i="20"/>
  <c r="V53" i="20"/>
  <c r="W53" i="20"/>
  <c r="X53" i="20"/>
  <c r="Y53" i="20"/>
  <c r="Z53" i="20"/>
  <c r="AA53" i="20"/>
  <c r="AB53" i="20"/>
  <c r="AC53" i="20"/>
  <c r="AD53" i="20"/>
  <c r="AE53" i="20"/>
  <c r="AF53" i="20"/>
  <c r="AG53" i="20"/>
  <c r="AH53" i="20"/>
  <c r="AI53" i="20"/>
  <c r="AJ53" i="20"/>
  <c r="AK53" i="20"/>
  <c r="AL53" i="20"/>
  <c r="AM53" i="20"/>
  <c r="AN53" i="20"/>
  <c r="Q54" i="20"/>
  <c r="R54" i="20"/>
  <c r="S54" i="20"/>
  <c r="T54" i="20"/>
  <c r="U54" i="20"/>
  <c r="V54" i="20"/>
  <c r="W54" i="20"/>
  <c r="X54" i="20"/>
  <c r="Y54" i="20"/>
  <c r="Z54" i="20"/>
  <c r="AA54" i="20"/>
  <c r="AB54" i="20"/>
  <c r="AC54" i="20"/>
  <c r="AD54" i="20"/>
  <c r="AE54" i="20"/>
  <c r="AF54" i="20"/>
  <c r="AG54" i="20"/>
  <c r="AH54" i="20"/>
  <c r="AI54" i="20"/>
  <c r="AJ54" i="20"/>
  <c r="AK54" i="20"/>
  <c r="AL54" i="20"/>
  <c r="AM54" i="20"/>
  <c r="AN54" i="20"/>
  <c r="Q55" i="20"/>
  <c r="R55" i="20"/>
  <c r="S55" i="20"/>
  <c r="T55" i="20"/>
  <c r="U55" i="20"/>
  <c r="V55" i="20"/>
  <c r="W55" i="20"/>
  <c r="X55" i="20"/>
  <c r="Y55" i="20"/>
  <c r="Z55" i="20"/>
  <c r="AA55" i="20"/>
  <c r="AB55" i="20"/>
  <c r="AC55" i="20"/>
  <c r="AD55" i="20"/>
  <c r="AE55" i="20"/>
  <c r="AF55" i="20"/>
  <c r="AG55" i="20"/>
  <c r="AH55" i="20"/>
  <c r="AI55" i="20"/>
  <c r="AJ55" i="20"/>
  <c r="AK55" i="20"/>
  <c r="AL55" i="20"/>
  <c r="AM55" i="20"/>
  <c r="AN55" i="20"/>
  <c r="Q56" i="20"/>
  <c r="R56" i="20"/>
  <c r="S56" i="20"/>
  <c r="T56" i="20"/>
  <c r="U56" i="20"/>
  <c r="V56" i="20"/>
  <c r="W56" i="20"/>
  <c r="X56" i="20"/>
  <c r="Y56" i="20"/>
  <c r="Z56" i="20"/>
  <c r="AA56" i="20"/>
  <c r="AB56" i="20"/>
  <c r="AC56" i="20"/>
  <c r="AD56" i="20"/>
  <c r="AE56" i="20"/>
  <c r="AF56" i="20"/>
  <c r="AG56" i="20"/>
  <c r="AH56" i="20"/>
  <c r="AI56" i="20"/>
  <c r="AJ56" i="20"/>
  <c r="AK56" i="20"/>
  <c r="AL56" i="20"/>
  <c r="AM56" i="20"/>
  <c r="AN56" i="20"/>
  <c r="Q57" i="20"/>
  <c r="R57" i="20"/>
  <c r="S57" i="20"/>
  <c r="T57" i="20"/>
  <c r="U57" i="20"/>
  <c r="V57" i="20"/>
  <c r="W57" i="20"/>
  <c r="X57" i="20"/>
  <c r="Y57" i="20"/>
  <c r="Z57" i="20"/>
  <c r="AA57" i="20"/>
  <c r="AB57" i="20"/>
  <c r="AC57" i="20"/>
  <c r="AD57" i="20"/>
  <c r="AE57" i="20"/>
  <c r="AF57" i="20"/>
  <c r="AG57" i="20"/>
  <c r="AH57" i="20"/>
  <c r="AI57" i="20"/>
  <c r="AJ57" i="20"/>
  <c r="AK57" i="20"/>
  <c r="AL57" i="20"/>
  <c r="AM57" i="20"/>
  <c r="AN57" i="20"/>
  <c r="Q58" i="20"/>
  <c r="R58" i="20"/>
  <c r="S58" i="20"/>
  <c r="T58" i="20"/>
  <c r="U58" i="20"/>
  <c r="V58" i="20"/>
  <c r="W58" i="20"/>
  <c r="X58" i="20"/>
  <c r="Y58" i="20"/>
  <c r="Z58" i="20"/>
  <c r="AA58" i="20"/>
  <c r="AB58" i="20"/>
  <c r="AC58" i="20"/>
  <c r="AD58" i="20"/>
  <c r="AE58" i="20"/>
  <c r="AF58" i="20"/>
  <c r="AG58" i="20"/>
  <c r="AH58" i="20"/>
  <c r="AI58" i="20"/>
  <c r="AJ58" i="20"/>
  <c r="AK58" i="20"/>
  <c r="AL58" i="20"/>
  <c r="AM58" i="20"/>
  <c r="AN58" i="20"/>
  <c r="Q59" i="20"/>
  <c r="R59" i="20"/>
  <c r="S59" i="20"/>
  <c r="T59" i="20"/>
  <c r="U59" i="20"/>
  <c r="V59" i="20"/>
  <c r="W59" i="20"/>
  <c r="X59" i="20"/>
  <c r="Y59" i="20"/>
  <c r="Z59" i="20"/>
  <c r="AA59" i="20"/>
  <c r="AB59" i="20"/>
  <c r="AC59" i="20"/>
  <c r="AD59" i="20"/>
  <c r="AE59" i="20"/>
  <c r="AF59" i="20"/>
  <c r="AG59" i="20"/>
  <c r="AH59" i="20"/>
  <c r="AI59" i="20"/>
  <c r="AJ59" i="20"/>
  <c r="AK59" i="20"/>
  <c r="AL59" i="20"/>
  <c r="AM59" i="20"/>
  <c r="AN59" i="20"/>
  <c r="Q60" i="20"/>
  <c r="R60" i="20"/>
  <c r="S60" i="20"/>
  <c r="T60" i="20"/>
  <c r="U60" i="20"/>
  <c r="V60" i="20"/>
  <c r="W60" i="20"/>
  <c r="X60" i="20"/>
  <c r="Y60" i="20"/>
  <c r="Z60" i="20"/>
  <c r="AA60" i="20"/>
  <c r="AB60" i="20"/>
  <c r="AC60" i="20"/>
  <c r="AD60" i="20"/>
  <c r="AE60" i="20"/>
  <c r="AF60" i="20"/>
  <c r="AG60" i="20"/>
  <c r="AH60" i="20"/>
  <c r="AI60" i="20"/>
  <c r="AJ60" i="20"/>
  <c r="AK60" i="20"/>
  <c r="AL60" i="20"/>
  <c r="AM60" i="20"/>
  <c r="AN60"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I4" i="24" l="1"/>
  <c r="K14" i="20" l="1"/>
  <c r="K13" i="20"/>
  <c r="K12" i="20"/>
  <c r="K11" i="20"/>
  <c r="K10" i="20"/>
  <c r="K9" i="20"/>
  <c r="X21" i="30"/>
  <c r="I4" i="22"/>
  <c r="C26" i="22"/>
  <c r="H21" i="22"/>
  <c r="F4" i="22"/>
  <c r="T11" i="27"/>
  <c r="T12" i="27"/>
  <c r="T13" i="27"/>
  <c r="T14" i="27"/>
  <c r="T15" i="27"/>
  <c r="T16" i="27"/>
  <c r="T17" i="27"/>
  <c r="T18" i="27"/>
  <c r="T19" i="27"/>
  <c r="T20" i="27"/>
  <c r="T21" i="27"/>
  <c r="T22" i="27"/>
  <c r="T23" i="27"/>
  <c r="T24" i="27"/>
  <c r="T25" i="27"/>
  <c r="T26" i="27"/>
  <c r="T27" i="27"/>
  <c r="T28" i="27"/>
  <c r="T29" i="27"/>
  <c r="T30" i="27"/>
  <c r="T31" i="27"/>
  <c r="T32" i="27"/>
  <c r="T33" i="27"/>
  <c r="T34" i="27"/>
  <c r="AA68" i="27"/>
  <c r="AA69" i="27"/>
  <c r="O40" i="27" l="1"/>
  <c r="O41" i="27"/>
  <c r="O42" i="27"/>
  <c r="O43" i="27"/>
  <c r="O44" i="27"/>
  <c r="O45" i="27"/>
  <c r="O46" i="27"/>
  <c r="O47" i="27"/>
  <c r="O48" i="27"/>
  <c r="O49" i="27"/>
  <c r="O50" i="27"/>
  <c r="O51" i="27"/>
  <c r="O52" i="27"/>
  <c r="O53" i="27"/>
  <c r="O54" i="27"/>
  <c r="O55" i="27"/>
  <c r="O56" i="27"/>
  <c r="O57" i="27"/>
  <c r="O58" i="27"/>
  <c r="O59" i="27"/>
  <c r="O60" i="27"/>
  <c r="O61" i="27"/>
  <c r="O62" i="27"/>
  <c r="O63" i="27"/>
  <c r="O64" i="27"/>
  <c r="O65" i="27"/>
  <c r="O66" i="27"/>
  <c r="O67" i="27"/>
  <c r="O39" i="27"/>
  <c r="O7" i="27"/>
  <c r="O8" i="27"/>
  <c r="O9" i="27"/>
  <c r="O10" i="27"/>
  <c r="O11" i="27"/>
  <c r="O12" i="27"/>
  <c r="O13" i="27"/>
  <c r="O14" i="27"/>
  <c r="O15" i="27"/>
  <c r="O16" i="27"/>
  <c r="O17" i="27"/>
  <c r="O18" i="27"/>
  <c r="O19" i="27"/>
  <c r="O20" i="27"/>
  <c r="O21" i="27"/>
  <c r="O22" i="27"/>
  <c r="O23" i="27"/>
  <c r="O24" i="27"/>
  <c r="O25" i="27"/>
  <c r="O26" i="27"/>
  <c r="O27" i="27"/>
  <c r="O28" i="27"/>
  <c r="O29" i="27"/>
  <c r="O30" i="27"/>
  <c r="O31" i="27"/>
  <c r="O32" i="27"/>
  <c r="O33" i="27"/>
  <c r="O34" i="27"/>
  <c r="O35" i="27"/>
  <c r="O6" i="27"/>
  <c r="F68" i="27"/>
  <c r="I66" i="20"/>
  <c r="B65" i="20"/>
  <c r="C65" i="20"/>
  <c r="A58" i="23"/>
  <c r="B58" i="23"/>
  <c r="C2" i="26"/>
  <c r="O68" i="27" l="1"/>
  <c r="C66" i="20"/>
  <c r="C14" i="26" s="1"/>
  <c r="M34" i="20"/>
  <c r="N34" i="20"/>
  <c r="M35" i="20"/>
  <c r="N35" i="20"/>
  <c r="M36" i="20"/>
  <c r="N36" i="20"/>
  <c r="M37" i="20"/>
  <c r="N37" i="20"/>
  <c r="M38" i="20"/>
  <c r="N38" i="20"/>
  <c r="M39" i="20"/>
  <c r="N39" i="20"/>
  <c r="M40" i="20"/>
  <c r="N40" i="20"/>
  <c r="M41" i="20"/>
  <c r="N41" i="20"/>
  <c r="M42" i="20"/>
  <c r="N42" i="20"/>
  <c r="M43" i="20"/>
  <c r="N43" i="20"/>
  <c r="M44" i="20"/>
  <c r="N44" i="20"/>
  <c r="M45" i="20"/>
  <c r="N45" i="20"/>
  <c r="M46" i="20"/>
  <c r="N46" i="20"/>
  <c r="M47" i="20"/>
  <c r="N47" i="20"/>
  <c r="M48" i="20"/>
  <c r="N48" i="20"/>
  <c r="M49" i="20"/>
  <c r="N49" i="20"/>
  <c r="M50" i="20"/>
  <c r="N50" i="20"/>
  <c r="M51" i="20"/>
  <c r="N51" i="20"/>
  <c r="M52" i="20"/>
  <c r="N52" i="20"/>
  <c r="M54" i="20"/>
  <c r="N54" i="20"/>
  <c r="M55" i="20"/>
  <c r="N55" i="20"/>
  <c r="M56" i="20"/>
  <c r="N56" i="20"/>
  <c r="M57" i="20"/>
  <c r="N57" i="20"/>
  <c r="M58" i="20"/>
  <c r="N58" i="20"/>
  <c r="M59" i="20"/>
  <c r="N59" i="20"/>
  <c r="M60" i="20"/>
  <c r="N60" i="20"/>
  <c r="M61" i="20"/>
  <c r="N61" i="20"/>
  <c r="M62" i="20"/>
  <c r="N62" i="20"/>
  <c r="M63" i="20"/>
  <c r="N63" i="20"/>
  <c r="M64" i="20"/>
  <c r="N64" i="20"/>
  <c r="D35" i="33"/>
  <c r="E35" i="33"/>
  <c r="D36" i="33"/>
  <c r="E36" i="33"/>
  <c r="D37" i="33"/>
  <c r="E37" i="33"/>
  <c r="D38" i="33"/>
  <c r="E38" i="33"/>
  <c r="D39" i="33"/>
  <c r="E39" i="33"/>
  <c r="D40" i="33"/>
  <c r="E40" i="33"/>
  <c r="D41" i="33"/>
  <c r="E41" i="33"/>
  <c r="D42" i="33"/>
  <c r="E42" i="33"/>
  <c r="D43" i="33"/>
  <c r="E43" i="33"/>
  <c r="D44" i="33"/>
  <c r="E44" i="33"/>
  <c r="D45" i="33"/>
  <c r="E45" i="33"/>
  <c r="D46" i="33"/>
  <c r="E46" i="33"/>
  <c r="D47" i="33"/>
  <c r="E47" i="33"/>
  <c r="D48" i="33"/>
  <c r="E48" i="33"/>
  <c r="D49" i="33"/>
  <c r="E49" i="33"/>
  <c r="D50" i="33"/>
  <c r="E50" i="33"/>
  <c r="D51" i="33"/>
  <c r="E51" i="33"/>
  <c r="D52" i="33"/>
  <c r="E52" i="33"/>
  <c r="D53" i="33"/>
  <c r="Q53" i="33" s="1"/>
  <c r="E53" i="33"/>
  <c r="D54" i="33"/>
  <c r="E54" i="33"/>
  <c r="D55" i="33"/>
  <c r="E55" i="33"/>
  <c r="D56" i="33"/>
  <c r="E56" i="33"/>
  <c r="D57" i="33"/>
  <c r="E57" i="33"/>
  <c r="D58" i="33"/>
  <c r="E58" i="33"/>
  <c r="D59" i="33"/>
  <c r="E59" i="33"/>
  <c r="D60" i="33"/>
  <c r="E60" i="33"/>
  <c r="D61" i="33"/>
  <c r="E61" i="33"/>
  <c r="D62" i="33"/>
  <c r="E62" i="33"/>
  <c r="D63" i="33"/>
  <c r="E63" i="33"/>
  <c r="D64" i="33"/>
  <c r="E64" i="33"/>
  <c r="E7" i="33"/>
  <c r="E8" i="33"/>
  <c r="E9" i="33"/>
  <c r="D10" i="33"/>
  <c r="E10" i="33"/>
  <c r="D11" i="33"/>
  <c r="E11" i="33"/>
  <c r="D12" i="33"/>
  <c r="E12" i="33"/>
  <c r="E13" i="33"/>
  <c r="E14" i="33"/>
  <c r="E15" i="33"/>
  <c r="D16" i="33"/>
  <c r="E16" i="33"/>
  <c r="D17" i="33"/>
  <c r="E17" i="33"/>
  <c r="D18" i="33"/>
  <c r="Q18" i="33" s="1"/>
  <c r="E18" i="33"/>
  <c r="D19" i="33"/>
  <c r="Q19" i="33" s="1"/>
  <c r="E19" i="33"/>
  <c r="D20" i="33"/>
  <c r="E20" i="33"/>
  <c r="D21" i="33"/>
  <c r="E21" i="33"/>
  <c r="D22" i="33"/>
  <c r="E22" i="33"/>
  <c r="D23" i="33"/>
  <c r="E23" i="33"/>
  <c r="D24" i="33"/>
  <c r="E24" i="33"/>
  <c r="D25" i="33"/>
  <c r="E25" i="33"/>
  <c r="D26" i="33"/>
  <c r="E26" i="33"/>
  <c r="D27" i="33"/>
  <c r="E27" i="33"/>
  <c r="D28" i="33"/>
  <c r="E28" i="33"/>
  <c r="D29" i="33"/>
  <c r="E29" i="33"/>
  <c r="D30" i="33"/>
  <c r="E30" i="33"/>
  <c r="D31" i="33"/>
  <c r="E31" i="33"/>
  <c r="D32" i="33"/>
  <c r="E32" i="33"/>
  <c r="D33" i="33"/>
  <c r="E33" i="33"/>
  <c r="D34" i="33"/>
  <c r="E34" i="33"/>
  <c r="E5" i="33"/>
  <c r="E6" i="33"/>
  <c r="L66" i="20"/>
  <c r="C12" i="26" s="1"/>
  <c r="A3" i="33"/>
  <c r="E4" i="33"/>
  <c r="E3" i="33"/>
  <c r="A13" i="33"/>
  <c r="A12" i="33"/>
  <c r="A14" i="33"/>
  <c r="A9" i="33"/>
  <c r="B18" i="33" s="1"/>
  <c r="A8" i="33"/>
  <c r="M4" i="33" s="1"/>
  <c r="A7" i="33"/>
  <c r="A5" i="33"/>
  <c r="A4" i="33"/>
  <c r="I13" i="33" s="1"/>
  <c r="AE13" i="30"/>
  <c r="AF13" i="30"/>
  <c r="AE14" i="30"/>
  <c r="AF14" i="30"/>
  <c r="AE15" i="30"/>
  <c r="AF15" i="30"/>
  <c r="AD15" i="30"/>
  <c r="AD14" i="30"/>
  <c r="AD13" i="30"/>
  <c r="AE12" i="30"/>
  <c r="AF12" i="30"/>
  <c r="AD12" i="30"/>
  <c r="AE11" i="30"/>
  <c r="AF11" i="30"/>
  <c r="AD11" i="30"/>
  <c r="AE10" i="30"/>
  <c r="AF10" i="30"/>
  <c r="AD10" i="30"/>
  <c r="AE9" i="30"/>
  <c r="AF9" i="30"/>
  <c r="AD9" i="30"/>
  <c r="AE8" i="30"/>
  <c r="AF8" i="30"/>
  <c r="AD8" i="30"/>
  <c r="M138" i="30"/>
  <c r="M137" i="30"/>
  <c r="M136" i="30"/>
  <c r="M135" i="30"/>
  <c r="M134" i="30"/>
  <c r="M133" i="30"/>
  <c r="M132" i="30"/>
  <c r="M131" i="30"/>
  <c r="M130" i="30"/>
  <c r="M129" i="30"/>
  <c r="M128" i="30"/>
  <c r="M127" i="30"/>
  <c r="M126" i="30"/>
  <c r="M125" i="30"/>
  <c r="M124" i="30"/>
  <c r="M123" i="30"/>
  <c r="M122" i="30"/>
  <c r="M121" i="30"/>
  <c r="M120" i="30"/>
  <c r="M119" i="30"/>
  <c r="M118" i="30"/>
  <c r="M117" i="30"/>
  <c r="M116" i="30"/>
  <c r="M115" i="30"/>
  <c r="M114" i="30"/>
  <c r="M113" i="30"/>
  <c r="M112" i="30"/>
  <c r="M111" i="30"/>
  <c r="M110" i="30"/>
  <c r="M109" i="30"/>
  <c r="H109" i="30"/>
  <c r="H110" i="30" s="1"/>
  <c r="H111" i="30" s="1"/>
  <c r="T139" i="30"/>
  <c r="T138" i="30"/>
  <c r="T137" i="30"/>
  <c r="T136" i="30"/>
  <c r="T135" i="30"/>
  <c r="T134" i="30"/>
  <c r="T133" i="30"/>
  <c r="T132" i="30"/>
  <c r="T131" i="30"/>
  <c r="T130" i="30"/>
  <c r="T129" i="30"/>
  <c r="T128" i="30"/>
  <c r="T127" i="30"/>
  <c r="T126" i="30"/>
  <c r="T125" i="30"/>
  <c r="T124" i="30"/>
  <c r="T123" i="30"/>
  <c r="T122" i="30"/>
  <c r="T121" i="30"/>
  <c r="T120" i="30"/>
  <c r="T119" i="30"/>
  <c r="T118" i="30"/>
  <c r="T117" i="30"/>
  <c r="T116" i="30"/>
  <c r="T115" i="30"/>
  <c r="T114" i="30"/>
  <c r="T113" i="30"/>
  <c r="T112" i="30"/>
  <c r="T111" i="30"/>
  <c r="T110" i="30"/>
  <c r="T109" i="30"/>
  <c r="O109" i="30"/>
  <c r="O110" i="30" s="1"/>
  <c r="A109" i="30"/>
  <c r="B109" i="30" s="1"/>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O74" i="30"/>
  <c r="O75" i="30" s="1"/>
  <c r="T103" i="30"/>
  <c r="T102" i="30"/>
  <c r="T101" i="30"/>
  <c r="T100" i="30"/>
  <c r="T99" i="30"/>
  <c r="T98" i="30"/>
  <c r="T97" i="30"/>
  <c r="T96" i="30"/>
  <c r="T95" i="30"/>
  <c r="T94" i="30"/>
  <c r="T93" i="30"/>
  <c r="T92" i="30"/>
  <c r="T91" i="30"/>
  <c r="T90" i="30"/>
  <c r="T89" i="30"/>
  <c r="T88" i="30"/>
  <c r="T87" i="30"/>
  <c r="T86" i="30"/>
  <c r="T85" i="30"/>
  <c r="T84" i="30"/>
  <c r="T83" i="30"/>
  <c r="T82" i="30"/>
  <c r="T81" i="30"/>
  <c r="T80" i="30"/>
  <c r="T79" i="30"/>
  <c r="T78" i="30"/>
  <c r="T77" i="30"/>
  <c r="T76" i="30"/>
  <c r="T75" i="30"/>
  <c r="T74" i="30"/>
  <c r="M104" i="30"/>
  <c r="H74" i="30"/>
  <c r="H75" i="30" s="1"/>
  <c r="M103" i="30"/>
  <c r="M102" i="30"/>
  <c r="M101" i="30"/>
  <c r="M100" i="30"/>
  <c r="M99" i="30"/>
  <c r="M98" i="30"/>
  <c r="M97" i="30"/>
  <c r="M96" i="30"/>
  <c r="M95" i="30"/>
  <c r="M94" i="30"/>
  <c r="M93" i="30"/>
  <c r="M92" i="30"/>
  <c r="M91" i="30"/>
  <c r="M90" i="30"/>
  <c r="M89" i="30"/>
  <c r="M88" i="30"/>
  <c r="M87" i="30"/>
  <c r="M86" i="30"/>
  <c r="M85" i="30"/>
  <c r="M84" i="30"/>
  <c r="M83" i="30"/>
  <c r="M82" i="30"/>
  <c r="M81" i="30"/>
  <c r="M80" i="30"/>
  <c r="M79" i="30"/>
  <c r="M78" i="30"/>
  <c r="M77" i="30"/>
  <c r="M76" i="30"/>
  <c r="M75" i="30"/>
  <c r="M74" i="30"/>
  <c r="A74" i="30"/>
  <c r="B74" i="30" s="1"/>
  <c r="F104" i="30"/>
  <c r="F103" i="30"/>
  <c r="F102" i="30"/>
  <c r="F101" i="30"/>
  <c r="F100" i="30"/>
  <c r="F99" i="30"/>
  <c r="F98" i="30"/>
  <c r="F97" i="30"/>
  <c r="F96" i="30"/>
  <c r="F95" i="30"/>
  <c r="F94" i="30"/>
  <c r="F93" i="30"/>
  <c r="F92" i="30"/>
  <c r="F91" i="30"/>
  <c r="F90" i="30"/>
  <c r="F89" i="30"/>
  <c r="F88" i="30"/>
  <c r="F87" i="30"/>
  <c r="F86" i="30"/>
  <c r="F85" i="30"/>
  <c r="F84" i="30"/>
  <c r="F83" i="30"/>
  <c r="F82" i="30"/>
  <c r="F81" i="30"/>
  <c r="F80" i="30"/>
  <c r="F79" i="30"/>
  <c r="F78" i="30"/>
  <c r="F77" i="30"/>
  <c r="F76" i="30"/>
  <c r="F75" i="30"/>
  <c r="F74" i="30"/>
  <c r="O39" i="30"/>
  <c r="O40" i="30" s="1"/>
  <c r="T68" i="30"/>
  <c r="T67" i="30"/>
  <c r="T66" i="30"/>
  <c r="T65" i="30"/>
  <c r="T64" i="30"/>
  <c r="T63" i="30"/>
  <c r="T62" i="30"/>
  <c r="T61" i="30"/>
  <c r="T60" i="30"/>
  <c r="T59" i="30"/>
  <c r="T58" i="30"/>
  <c r="T57" i="30"/>
  <c r="T56" i="30"/>
  <c r="T55" i="30"/>
  <c r="T54" i="30"/>
  <c r="T53" i="30"/>
  <c r="T52" i="30"/>
  <c r="T51" i="30"/>
  <c r="T50" i="30"/>
  <c r="T49" i="30"/>
  <c r="T48" i="30"/>
  <c r="T47" i="30"/>
  <c r="T46" i="30"/>
  <c r="T45" i="30"/>
  <c r="T44" i="30"/>
  <c r="T43" i="30"/>
  <c r="T42" i="30"/>
  <c r="T41" i="30"/>
  <c r="T40" i="30"/>
  <c r="T39" i="30"/>
  <c r="H39" i="30"/>
  <c r="H40" i="30" s="1"/>
  <c r="M69" i="30"/>
  <c r="M68" i="30"/>
  <c r="M67" i="30"/>
  <c r="M66" i="30"/>
  <c r="M65" i="30"/>
  <c r="M64" i="30"/>
  <c r="M63" i="30"/>
  <c r="M62" i="30"/>
  <c r="M61" i="30"/>
  <c r="M60" i="30"/>
  <c r="M59" i="30"/>
  <c r="M58" i="30"/>
  <c r="M57" i="30"/>
  <c r="M56" i="30"/>
  <c r="M55" i="30"/>
  <c r="M54" i="30"/>
  <c r="M53" i="30"/>
  <c r="M52" i="30"/>
  <c r="M51" i="30"/>
  <c r="M50" i="30"/>
  <c r="M49" i="30"/>
  <c r="M48" i="30"/>
  <c r="M47" i="30"/>
  <c r="M46" i="30"/>
  <c r="M45" i="30"/>
  <c r="M44" i="30"/>
  <c r="M43" i="30"/>
  <c r="M42" i="30"/>
  <c r="M41" i="30"/>
  <c r="M40" i="30"/>
  <c r="M39" i="30"/>
  <c r="AE7" i="30"/>
  <c r="AF7" i="30"/>
  <c r="AD7" i="30"/>
  <c r="B5" i="23"/>
  <c r="B6" i="23"/>
  <c r="B7" i="23"/>
  <c r="B8" i="2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4" i="23"/>
  <c r="AC16" i="27"/>
  <c r="AF19" i="27"/>
  <c r="AF20" i="27"/>
  <c r="AF21" i="27"/>
  <c r="AF22" i="27"/>
  <c r="AF23" i="27"/>
  <c r="AF24" i="27"/>
  <c r="AF25" i="27"/>
  <c r="AF26" i="27"/>
  <c r="AF27" i="27"/>
  <c r="AF28" i="27"/>
  <c r="AF29" i="27"/>
  <c r="AF30" i="27"/>
  <c r="AF31" i="27"/>
  <c r="AF32" i="27"/>
  <c r="AF33" i="27"/>
  <c r="AF34" i="27"/>
  <c r="AF35" i="27"/>
  <c r="AF36" i="27"/>
  <c r="AF37" i="27"/>
  <c r="AF38" i="27"/>
  <c r="AF39" i="27"/>
  <c r="AF40" i="27"/>
  <c r="AF41" i="27"/>
  <c r="AF42" i="27"/>
  <c r="AF43" i="27"/>
  <c r="AF44" i="27"/>
  <c r="AF45" i="27"/>
  <c r="AF46" i="27"/>
  <c r="AF47" i="27"/>
  <c r="AF48" i="27"/>
  <c r="AF49" i="27"/>
  <c r="AF50" i="27"/>
  <c r="AF51" i="27"/>
  <c r="AF52" i="27"/>
  <c r="AF53" i="27"/>
  <c r="AF54" i="27"/>
  <c r="AF55" i="27"/>
  <c r="AF56" i="27"/>
  <c r="AF57" i="27"/>
  <c r="AF58" i="27"/>
  <c r="AF59" i="27"/>
  <c r="AF60" i="27"/>
  <c r="AF61" i="27"/>
  <c r="AF62" i="27"/>
  <c r="AF63" i="27"/>
  <c r="AF64" i="27"/>
  <c r="AF65" i="27"/>
  <c r="AF66" i="27"/>
  <c r="AF67" i="27"/>
  <c r="AE35" i="27"/>
  <c r="AE36" i="27"/>
  <c r="AE37" i="27"/>
  <c r="AE38" i="27"/>
  <c r="AE39" i="27"/>
  <c r="AE40" i="27"/>
  <c r="AE41" i="27"/>
  <c r="AE42" i="27"/>
  <c r="AE43" i="27"/>
  <c r="AE44" i="27"/>
  <c r="AE45" i="27"/>
  <c r="AE46" i="27"/>
  <c r="AE47" i="27"/>
  <c r="AE48" i="27"/>
  <c r="AE49" i="27"/>
  <c r="AE50" i="27"/>
  <c r="AE51" i="27"/>
  <c r="AE52" i="27"/>
  <c r="AE53" i="27"/>
  <c r="AE54" i="27"/>
  <c r="AE55" i="27"/>
  <c r="AE56" i="27"/>
  <c r="AE57" i="27"/>
  <c r="AE58" i="27"/>
  <c r="AE59" i="27"/>
  <c r="AE60" i="27"/>
  <c r="AE61" i="27"/>
  <c r="AE62" i="27"/>
  <c r="AE63" i="27"/>
  <c r="AE64" i="27"/>
  <c r="AE65" i="27"/>
  <c r="AE66" i="27"/>
  <c r="AE67" i="27"/>
  <c r="AE7" i="27"/>
  <c r="AE8" i="27"/>
  <c r="AE9" i="27"/>
  <c r="AE10" i="27"/>
  <c r="AE11" i="27"/>
  <c r="AE12" i="27"/>
  <c r="AE13" i="27"/>
  <c r="AE14" i="27"/>
  <c r="AE15" i="27"/>
  <c r="AE16" i="27"/>
  <c r="AE17" i="27"/>
  <c r="AE18" i="27"/>
  <c r="AE19" i="27"/>
  <c r="AE20" i="27"/>
  <c r="AE21" i="27"/>
  <c r="AE22" i="27"/>
  <c r="AE23" i="27"/>
  <c r="AE24" i="27"/>
  <c r="AE25" i="27"/>
  <c r="AE26" i="27"/>
  <c r="AE27" i="27"/>
  <c r="AE28" i="27"/>
  <c r="AE29" i="27"/>
  <c r="AE30" i="27"/>
  <c r="AE31" i="27"/>
  <c r="AE32" i="27"/>
  <c r="AE33" i="27"/>
  <c r="AE34" i="27"/>
  <c r="AE6" i="27"/>
  <c r="AD7" i="27"/>
  <c r="AD8" i="27"/>
  <c r="AD9" i="27"/>
  <c r="AD10" i="27"/>
  <c r="AD11" i="27"/>
  <c r="AD12" i="27"/>
  <c r="AD13" i="27"/>
  <c r="AD14" i="27"/>
  <c r="AD15" i="27"/>
  <c r="AD16" i="27"/>
  <c r="AD17" i="27"/>
  <c r="AD18" i="27"/>
  <c r="AD19" i="27"/>
  <c r="AD20" i="27"/>
  <c r="AD21" i="27"/>
  <c r="AD22" i="27"/>
  <c r="AD23" i="27"/>
  <c r="AD24" i="27"/>
  <c r="AD25" i="27"/>
  <c r="AD26" i="27"/>
  <c r="AD27" i="27"/>
  <c r="AD28" i="27"/>
  <c r="AD29" i="27"/>
  <c r="AD30" i="27"/>
  <c r="AD31" i="27"/>
  <c r="AD32" i="27"/>
  <c r="AD33" i="27"/>
  <c r="AD34" i="27"/>
  <c r="AD35" i="27"/>
  <c r="AD36" i="27"/>
  <c r="AD37" i="27"/>
  <c r="AD38" i="27"/>
  <c r="AD39" i="27"/>
  <c r="AD40" i="27"/>
  <c r="AD41" i="27"/>
  <c r="AD42" i="27"/>
  <c r="AD43" i="27"/>
  <c r="AD44" i="27"/>
  <c r="AD45" i="27"/>
  <c r="AD46" i="27"/>
  <c r="AD47" i="27"/>
  <c r="AD48" i="27"/>
  <c r="AD49" i="27"/>
  <c r="AD50" i="27"/>
  <c r="AD51" i="27"/>
  <c r="AD52" i="27"/>
  <c r="AD53" i="27"/>
  <c r="AD54" i="27"/>
  <c r="AD55" i="27"/>
  <c r="AD56" i="27"/>
  <c r="AD57" i="27"/>
  <c r="AD58" i="27"/>
  <c r="AD59" i="27"/>
  <c r="AD60" i="27"/>
  <c r="AD61" i="27"/>
  <c r="AD62" i="27"/>
  <c r="AD63" i="27"/>
  <c r="AD64" i="27"/>
  <c r="AD65" i="27"/>
  <c r="AD66" i="27"/>
  <c r="AD67" i="27"/>
  <c r="AD6" i="27"/>
  <c r="AC7" i="27"/>
  <c r="AC8" i="27"/>
  <c r="AC9" i="27"/>
  <c r="AC10" i="27"/>
  <c r="AC11" i="27"/>
  <c r="AC12" i="27"/>
  <c r="AC13" i="27"/>
  <c r="AC14" i="27"/>
  <c r="AC15" i="27"/>
  <c r="AC17" i="27"/>
  <c r="AC18" i="27"/>
  <c r="AC19" i="27"/>
  <c r="AC20" i="27"/>
  <c r="AC21" i="27"/>
  <c r="AC22" i="27"/>
  <c r="AC23" i="27"/>
  <c r="AC24" i="27"/>
  <c r="AC25" i="27"/>
  <c r="AC26" i="27"/>
  <c r="AC27" i="27"/>
  <c r="AC28" i="27"/>
  <c r="AC29" i="27"/>
  <c r="AC30" i="27"/>
  <c r="AC31" i="27"/>
  <c r="AC32" i="27"/>
  <c r="AC33" i="27"/>
  <c r="AC34" i="27"/>
  <c r="AC35" i="27"/>
  <c r="AC36" i="27"/>
  <c r="AC37" i="27"/>
  <c r="AC38" i="27"/>
  <c r="AC39" i="27"/>
  <c r="AC40" i="27"/>
  <c r="AC41" i="27"/>
  <c r="AC42" i="27"/>
  <c r="AC43" i="27"/>
  <c r="AC44" i="27"/>
  <c r="AC45" i="27"/>
  <c r="AC46" i="27"/>
  <c r="AC47" i="27"/>
  <c r="AC48" i="27"/>
  <c r="AC49" i="27"/>
  <c r="AC50" i="27"/>
  <c r="AC51" i="27"/>
  <c r="AC52" i="27"/>
  <c r="AC53" i="27"/>
  <c r="AC54" i="27"/>
  <c r="AC55" i="27"/>
  <c r="AC56" i="27"/>
  <c r="AC57" i="27"/>
  <c r="AC58" i="27"/>
  <c r="AC59" i="27"/>
  <c r="AC60" i="27"/>
  <c r="AC61" i="27"/>
  <c r="AC62" i="27"/>
  <c r="AC63" i="27"/>
  <c r="AC64" i="27"/>
  <c r="AC65" i="27"/>
  <c r="AC66" i="27"/>
  <c r="AC67" i="27"/>
  <c r="AC6" i="27"/>
  <c r="AB7" i="27"/>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 i="27"/>
  <c r="Z61" i="27"/>
  <c r="AA61" i="27" s="1"/>
  <c r="Z62" i="27"/>
  <c r="AA62" i="27" s="1"/>
  <c r="Z63" i="27"/>
  <c r="AA63" i="27" s="1"/>
  <c r="Z64" i="27"/>
  <c r="AA64" i="27" s="1"/>
  <c r="Z65" i="27"/>
  <c r="AA65" i="27" s="1"/>
  <c r="Z66" i="27"/>
  <c r="AA66" i="27" s="1"/>
  <c r="Z67" i="27"/>
  <c r="AA67" i="27" s="1"/>
  <c r="Z7" i="27"/>
  <c r="AA7" i="27" s="1"/>
  <c r="Z8" i="27"/>
  <c r="AA8" i="27" s="1"/>
  <c r="Z9" i="27"/>
  <c r="AA9" i="27" s="1"/>
  <c r="Z10" i="27"/>
  <c r="AA10" i="27" s="1"/>
  <c r="Z11" i="27"/>
  <c r="AA11" i="27" s="1"/>
  <c r="Z12" i="27"/>
  <c r="AA12" i="27" s="1"/>
  <c r="Z13" i="27"/>
  <c r="AA13" i="27" s="1"/>
  <c r="Z14" i="27"/>
  <c r="AA14" i="27" s="1"/>
  <c r="Z15" i="27"/>
  <c r="AA15" i="27" s="1"/>
  <c r="Z16" i="27"/>
  <c r="AA16" i="27" s="1"/>
  <c r="Z17" i="27"/>
  <c r="AA17" i="27" s="1"/>
  <c r="Z18" i="27"/>
  <c r="AA18" i="27" s="1"/>
  <c r="Z19" i="27"/>
  <c r="AA19" i="27" s="1"/>
  <c r="Z20" i="27"/>
  <c r="AA20" i="27" s="1"/>
  <c r="Z21" i="27"/>
  <c r="AA21" i="27" s="1"/>
  <c r="Z22" i="27"/>
  <c r="AA22" i="27" s="1"/>
  <c r="Z23" i="27"/>
  <c r="AA23" i="27" s="1"/>
  <c r="Z24" i="27"/>
  <c r="AA24" i="27" s="1"/>
  <c r="Z25" i="27"/>
  <c r="AA25" i="27" s="1"/>
  <c r="Z26" i="27"/>
  <c r="AA26" i="27" s="1"/>
  <c r="Z27" i="27"/>
  <c r="AA27" i="27" s="1"/>
  <c r="Z28" i="27"/>
  <c r="AA28" i="27" s="1"/>
  <c r="Z29" i="27"/>
  <c r="AA29" i="27" s="1"/>
  <c r="Z30" i="27"/>
  <c r="AA30" i="27" s="1"/>
  <c r="Z31" i="27"/>
  <c r="AA31" i="27" s="1"/>
  <c r="Z32" i="27"/>
  <c r="AA32" i="27" s="1"/>
  <c r="Z33" i="27"/>
  <c r="AA33" i="27" s="1"/>
  <c r="Z34" i="27"/>
  <c r="AA34" i="27" s="1"/>
  <c r="Z35" i="27"/>
  <c r="AA35" i="27" s="1"/>
  <c r="Z36" i="27"/>
  <c r="AA36" i="27" s="1"/>
  <c r="Z37" i="27"/>
  <c r="AA37" i="27" s="1"/>
  <c r="Z38" i="27"/>
  <c r="AA38" i="27" s="1"/>
  <c r="Z39" i="27"/>
  <c r="AA39" i="27" s="1"/>
  <c r="Z40" i="27"/>
  <c r="AA40" i="27" s="1"/>
  <c r="Z41" i="27"/>
  <c r="AA41" i="27" s="1"/>
  <c r="Z42" i="27"/>
  <c r="AA42" i="27" s="1"/>
  <c r="Z43" i="27"/>
  <c r="AA43" i="27" s="1"/>
  <c r="Z44" i="27"/>
  <c r="AA44" i="27" s="1"/>
  <c r="Z45" i="27"/>
  <c r="AA45" i="27" s="1"/>
  <c r="Z46" i="27"/>
  <c r="AA46" i="27" s="1"/>
  <c r="Z47" i="27"/>
  <c r="AA47" i="27" s="1"/>
  <c r="Z48" i="27"/>
  <c r="AA48" i="27" s="1"/>
  <c r="Z49" i="27"/>
  <c r="AA49" i="27" s="1"/>
  <c r="Z50" i="27"/>
  <c r="AA50" i="27" s="1"/>
  <c r="Z51" i="27"/>
  <c r="AA51" i="27" s="1"/>
  <c r="Z52" i="27"/>
  <c r="AA52" i="27" s="1"/>
  <c r="Z53" i="27"/>
  <c r="AA53" i="27" s="1"/>
  <c r="Z54" i="27"/>
  <c r="AA54" i="27" s="1"/>
  <c r="Z55" i="27"/>
  <c r="AA55" i="27" s="1"/>
  <c r="Z56" i="27"/>
  <c r="AA56" i="27" s="1"/>
  <c r="Z57" i="27"/>
  <c r="AA57" i="27" s="1"/>
  <c r="Z58" i="27"/>
  <c r="AA58" i="27" s="1"/>
  <c r="Z59" i="27"/>
  <c r="AA59" i="27" s="1"/>
  <c r="Z60" i="27"/>
  <c r="AA60" i="27" s="1"/>
  <c r="Z6" i="27"/>
  <c r="AA6" i="27" s="1"/>
  <c r="T40" i="27"/>
  <c r="T41" i="27"/>
  <c r="T42" i="27"/>
  <c r="T43" i="27"/>
  <c r="T44" i="27"/>
  <c r="T45" i="27"/>
  <c r="T46" i="27"/>
  <c r="T47" i="27"/>
  <c r="T48" i="27"/>
  <c r="T49" i="27"/>
  <c r="T50" i="27"/>
  <c r="T51" i="27"/>
  <c r="T52" i="27"/>
  <c r="T53" i="27"/>
  <c r="T54" i="27"/>
  <c r="T55" i="27"/>
  <c r="T56" i="27"/>
  <c r="T57" i="27"/>
  <c r="T58" i="27"/>
  <c r="T59" i="27"/>
  <c r="T60" i="27"/>
  <c r="T61" i="27"/>
  <c r="T62" i="27"/>
  <c r="T63" i="27"/>
  <c r="T64" i="27"/>
  <c r="T65" i="27"/>
  <c r="T66" i="27"/>
  <c r="N42" i="32"/>
  <c r="N40" i="32"/>
  <c r="N38" i="32"/>
  <c r="N36" i="32"/>
  <c r="N34" i="32"/>
  <c r="B22" i="33" l="1"/>
  <c r="M59" i="33"/>
  <c r="M49" i="33"/>
  <c r="M11" i="33"/>
  <c r="M64" i="33"/>
  <c r="N51" i="33"/>
  <c r="J51" i="33"/>
  <c r="N34" i="33"/>
  <c r="J34" i="33"/>
  <c r="J62" i="33"/>
  <c r="N62" i="33"/>
  <c r="J61" i="33"/>
  <c r="N61" i="33"/>
  <c r="N38" i="33"/>
  <c r="J38" i="33"/>
  <c r="J47" i="33"/>
  <c r="N47" i="33"/>
  <c r="N56" i="33"/>
  <c r="J56" i="33"/>
  <c r="N59" i="33"/>
  <c r="J59" i="33"/>
  <c r="J43" i="33"/>
  <c r="N43" i="33"/>
  <c r="N60" i="33"/>
  <c r="J60" i="33"/>
  <c r="J50" i="33"/>
  <c r="N50" i="33"/>
  <c r="N40" i="33"/>
  <c r="J40" i="33"/>
  <c r="N55" i="33"/>
  <c r="J55" i="33"/>
  <c r="J42" i="33"/>
  <c r="N42" i="33"/>
  <c r="J41" i="33"/>
  <c r="N41" i="33"/>
  <c r="N58" i="33"/>
  <c r="J58" i="33"/>
  <c r="N57" i="33"/>
  <c r="J57" i="33"/>
  <c r="N37" i="33"/>
  <c r="J37" i="33"/>
  <c r="J46" i="33"/>
  <c r="N46" i="33"/>
  <c r="J64" i="33"/>
  <c r="N64" i="33"/>
  <c r="J45" i="33"/>
  <c r="N45" i="33"/>
  <c r="N35" i="33"/>
  <c r="J35" i="33"/>
  <c r="N52" i="33"/>
  <c r="J52" i="33"/>
  <c r="N54" i="33"/>
  <c r="J54" i="33"/>
  <c r="N39" i="33"/>
  <c r="J39" i="33"/>
  <c r="N36" i="33"/>
  <c r="J36" i="33"/>
  <c r="J63" i="33"/>
  <c r="N63" i="33"/>
  <c r="J44" i="33"/>
  <c r="N44" i="33"/>
  <c r="N49" i="33"/>
  <c r="J49" i="33"/>
  <c r="J48" i="33"/>
  <c r="N48" i="33"/>
  <c r="J53" i="33"/>
  <c r="N53" i="33"/>
  <c r="W13" i="21"/>
  <c r="M30" i="33"/>
  <c r="M39" i="33"/>
  <c r="M17" i="33"/>
  <c r="M44" i="33"/>
  <c r="M34" i="33"/>
  <c r="M54" i="33"/>
  <c r="H50" i="33"/>
  <c r="L50" i="33"/>
  <c r="H59" i="33"/>
  <c r="L59" i="33"/>
  <c r="L56" i="33"/>
  <c r="H56" i="33"/>
  <c r="H55" i="33"/>
  <c r="L55" i="33"/>
  <c r="H46" i="33"/>
  <c r="L46" i="33"/>
  <c r="L37" i="33"/>
  <c r="H37" i="33"/>
  <c r="H58" i="33"/>
  <c r="L58" i="33"/>
  <c r="L64" i="33"/>
  <c r="H64" i="33"/>
  <c r="H45" i="33"/>
  <c r="L45" i="33"/>
  <c r="L36" i="33"/>
  <c r="H36" i="33"/>
  <c r="L42" i="33"/>
  <c r="H42" i="33"/>
  <c r="L41" i="33"/>
  <c r="H41" i="33"/>
  <c r="H39" i="33"/>
  <c r="L39" i="33"/>
  <c r="L38" i="33"/>
  <c r="H38" i="33"/>
  <c r="L63" i="33"/>
  <c r="H63" i="33"/>
  <c r="L54" i="33"/>
  <c r="H54" i="33"/>
  <c r="H48" i="33"/>
  <c r="L48" i="33"/>
  <c r="H35" i="33"/>
  <c r="L35" i="33"/>
  <c r="L57" i="33"/>
  <c r="H57" i="33"/>
  <c r="H47" i="33"/>
  <c r="L47" i="33"/>
  <c r="L62" i="33"/>
  <c r="H62" i="33"/>
  <c r="H53" i="33"/>
  <c r="L53" i="33"/>
  <c r="L44" i="33"/>
  <c r="H44" i="33"/>
  <c r="L51" i="33"/>
  <c r="H51" i="33"/>
  <c r="L49" i="33"/>
  <c r="H49" i="33"/>
  <c r="L60" i="33"/>
  <c r="H60" i="33"/>
  <c r="L40" i="33"/>
  <c r="H40" i="33"/>
  <c r="L34" i="33"/>
  <c r="H34" i="33"/>
  <c r="L61" i="33"/>
  <c r="H61" i="33"/>
  <c r="L52" i="33"/>
  <c r="H52" i="33"/>
  <c r="L43" i="33"/>
  <c r="H43" i="33"/>
  <c r="L16" i="33"/>
  <c r="H16" i="33"/>
  <c r="L24" i="33"/>
  <c r="H24" i="33"/>
  <c r="H29" i="33"/>
  <c r="L29" i="33"/>
  <c r="H28" i="33"/>
  <c r="L28" i="33"/>
  <c r="H17" i="33"/>
  <c r="L17" i="33"/>
  <c r="L25" i="33"/>
  <c r="H25" i="33"/>
  <c r="L33" i="33"/>
  <c r="H33" i="33"/>
  <c r="L23" i="33"/>
  <c r="H23" i="33"/>
  <c r="L12" i="33"/>
  <c r="H12" i="33"/>
  <c r="L22" i="33"/>
  <c r="H22" i="33"/>
  <c r="L31" i="33"/>
  <c r="H31" i="33"/>
  <c r="L11" i="33"/>
  <c r="H11" i="33"/>
  <c r="H10" i="33"/>
  <c r="L10" i="33"/>
  <c r="L18" i="33"/>
  <c r="H18" i="33"/>
  <c r="L27" i="33"/>
  <c r="H27" i="33"/>
  <c r="H30" i="33"/>
  <c r="L30" i="33"/>
  <c r="H20" i="33"/>
  <c r="L20" i="33"/>
  <c r="L19" i="33"/>
  <c r="H19" i="33"/>
  <c r="H26" i="33"/>
  <c r="L26" i="33"/>
  <c r="H32" i="33"/>
  <c r="L32" i="33"/>
  <c r="L21" i="33"/>
  <c r="H21" i="33"/>
  <c r="P57" i="33"/>
  <c r="P56" i="33"/>
  <c r="P60" i="33"/>
  <c r="P54" i="33"/>
  <c r="P53" i="33"/>
  <c r="P10" i="33"/>
  <c r="AG10" i="30"/>
  <c r="T9" i="21" s="1"/>
  <c r="AG12" i="30"/>
  <c r="T11" i="21" s="1"/>
  <c r="AG11" i="30"/>
  <c r="T10" i="21" s="1"/>
  <c r="I8" i="33"/>
  <c r="B26" i="33"/>
  <c r="P31" i="33"/>
  <c r="P58" i="33"/>
  <c r="P25" i="33"/>
  <c r="P39" i="33"/>
  <c r="P45" i="33"/>
  <c r="P30" i="33"/>
  <c r="P19" i="33"/>
  <c r="P63" i="33"/>
  <c r="P51" i="33"/>
  <c r="P38" i="33"/>
  <c r="P40" i="33"/>
  <c r="P20" i="33"/>
  <c r="P64" i="33"/>
  <c r="P52" i="33"/>
  <c r="P24" i="33"/>
  <c r="P46" i="33"/>
  <c r="P50" i="33"/>
  <c r="P34" i="33"/>
  <c r="P29" i="33"/>
  <c r="P18" i="33"/>
  <c r="P37" i="33"/>
  <c r="P27" i="33"/>
  <c r="P35" i="33"/>
  <c r="P41" i="33"/>
  <c r="P44" i="33"/>
  <c r="P23" i="33"/>
  <c r="P28" i="33"/>
  <c r="P43" i="33"/>
  <c r="P48" i="33"/>
  <c r="P47" i="33"/>
  <c r="P62" i="33"/>
  <c r="P61" i="33"/>
  <c r="P55" i="33"/>
  <c r="P49" i="33"/>
  <c r="P36" i="33"/>
  <c r="P32" i="33"/>
  <c r="P21" i="33"/>
  <c r="P26" i="33"/>
  <c r="P59" i="33"/>
  <c r="P33" i="33"/>
  <c r="P42" i="33"/>
  <c r="P22" i="33"/>
  <c r="P17" i="33"/>
  <c r="M21" i="33"/>
  <c r="M53" i="33"/>
  <c r="M20" i="33"/>
  <c r="M62" i="33"/>
  <c r="M24" i="33"/>
  <c r="M57" i="33"/>
  <c r="M15" i="33"/>
  <c r="M8" i="33"/>
  <c r="M47" i="33"/>
  <c r="M42" i="33"/>
  <c r="M28" i="33"/>
  <c r="M52" i="33"/>
  <c r="M32" i="33"/>
  <c r="M19" i="33"/>
  <c r="M14" i="33"/>
  <c r="M61" i="33"/>
  <c r="M6" i="33"/>
  <c r="M23" i="33"/>
  <c r="M41" i="33"/>
  <c r="M36" i="33"/>
  <c r="M38" i="33"/>
  <c r="M13" i="33"/>
  <c r="M56" i="33"/>
  <c r="M51" i="33"/>
  <c r="M46" i="33"/>
  <c r="M37" i="33"/>
  <c r="M7" i="33"/>
  <c r="M48" i="33"/>
  <c r="M12" i="33"/>
  <c r="M63" i="33"/>
  <c r="M58" i="33"/>
  <c r="M9" i="33"/>
  <c r="M5" i="33"/>
  <c r="M18" i="33"/>
  <c r="M60" i="33"/>
  <c r="M45" i="33"/>
  <c r="M35" i="33"/>
  <c r="M10" i="33"/>
  <c r="M43" i="33"/>
  <c r="M33" i="33"/>
  <c r="M31" i="33"/>
  <c r="M22" i="33"/>
  <c r="M55" i="33"/>
  <c r="M50" i="33"/>
  <c r="M40" i="33"/>
  <c r="M25" i="33"/>
  <c r="M29" i="33"/>
  <c r="M16" i="33"/>
  <c r="M27" i="33"/>
  <c r="M26" i="33"/>
  <c r="I24" i="33"/>
  <c r="I50" i="33"/>
  <c r="I16" i="33"/>
  <c r="I30" i="33"/>
  <c r="I64" i="33"/>
  <c r="I12" i="33"/>
  <c r="I36" i="33"/>
  <c r="I42" i="33"/>
  <c r="I20" i="33"/>
  <c r="I33" i="33"/>
  <c r="I15" i="33"/>
  <c r="I10" i="33"/>
  <c r="I56" i="33"/>
  <c r="I48" i="33"/>
  <c r="I44" i="33"/>
  <c r="I40" i="33"/>
  <c r="I46" i="33"/>
  <c r="I60" i="33"/>
  <c r="I52" i="33"/>
  <c r="I37" i="33"/>
  <c r="I6" i="33"/>
  <c r="I22" i="33"/>
  <c r="I21" i="33"/>
  <c r="I62" i="33"/>
  <c r="I38" i="33"/>
  <c r="I7" i="33"/>
  <c r="I11" i="33"/>
  <c r="I49" i="33"/>
  <c r="I26" i="33"/>
  <c r="I29" i="33"/>
  <c r="I14" i="33"/>
  <c r="I63" i="33"/>
  <c r="I28" i="33"/>
  <c r="I17" i="33"/>
  <c r="I27" i="33"/>
  <c r="I34" i="33"/>
  <c r="I61" i="33"/>
  <c r="I57" i="33"/>
  <c r="I23" i="33"/>
  <c r="I53" i="33"/>
  <c r="I19" i="33"/>
  <c r="I9" i="33"/>
  <c r="I59" i="33"/>
  <c r="I39" i="33"/>
  <c r="I35" i="33"/>
  <c r="I5" i="33"/>
  <c r="I58" i="33"/>
  <c r="I41" i="33"/>
  <c r="I32" i="33"/>
  <c r="I25" i="33"/>
  <c r="I18" i="33"/>
  <c r="I55" i="33"/>
  <c r="I51" i="33"/>
  <c r="I47" i="33"/>
  <c r="I43" i="33"/>
  <c r="I31" i="33"/>
  <c r="I54" i="33"/>
  <c r="I45" i="33"/>
  <c r="P12" i="33"/>
  <c r="P16" i="33"/>
  <c r="P11" i="33"/>
  <c r="AG15" i="30"/>
  <c r="T14" i="21" s="1"/>
  <c r="AG13" i="30"/>
  <c r="T12" i="21" s="1"/>
  <c r="AG14" i="30"/>
  <c r="T13" i="21" s="1"/>
  <c r="AG9" i="30"/>
  <c r="T8" i="21" s="1"/>
  <c r="AG8" i="30"/>
  <c r="T7" i="21" s="1"/>
  <c r="M3" i="33"/>
  <c r="I3" i="33"/>
  <c r="I4" i="33"/>
  <c r="I109" i="30"/>
  <c r="H112" i="30"/>
  <c r="I111" i="30"/>
  <c r="I110" i="30"/>
  <c r="O111" i="30"/>
  <c r="P110" i="30"/>
  <c r="P109" i="30"/>
  <c r="A110" i="30"/>
  <c r="O76" i="30"/>
  <c r="P75" i="30"/>
  <c r="P74" i="30"/>
  <c r="H76" i="30"/>
  <c r="I75" i="30"/>
  <c r="I74" i="30"/>
  <c r="A75" i="30"/>
  <c r="O41" i="30"/>
  <c r="P40" i="30"/>
  <c r="P39" i="30"/>
  <c r="I40" i="30"/>
  <c r="H41" i="30"/>
  <c r="I39" i="30"/>
  <c r="U7" i="21"/>
  <c r="U8" i="21"/>
  <c r="U9" i="21"/>
  <c r="U10" i="21"/>
  <c r="U11" i="21"/>
  <c r="U12" i="21"/>
  <c r="U13" i="21"/>
  <c r="U14" i="21"/>
  <c r="Q6" i="21"/>
  <c r="R6" i="21"/>
  <c r="S6" i="21"/>
  <c r="Q7" i="21"/>
  <c r="R7" i="21"/>
  <c r="S7" i="21"/>
  <c r="Q8" i="21"/>
  <c r="R8" i="21"/>
  <c r="S8" i="21"/>
  <c r="Q9" i="21"/>
  <c r="R9" i="21"/>
  <c r="S9" i="21"/>
  <c r="Q10" i="21"/>
  <c r="R10" i="21"/>
  <c r="S10" i="21"/>
  <c r="Q11" i="21"/>
  <c r="R11" i="21"/>
  <c r="S11" i="21"/>
  <c r="Q12" i="21"/>
  <c r="R12" i="21"/>
  <c r="S12" i="21"/>
  <c r="Q13" i="21"/>
  <c r="R13" i="21"/>
  <c r="S13" i="21"/>
  <c r="Q14" i="21"/>
  <c r="R14" i="21"/>
  <c r="S14" i="21"/>
  <c r="U5" i="21"/>
  <c r="U6" i="21"/>
  <c r="AE6" i="30"/>
  <c r="R5" i="21" s="1"/>
  <c r="AF6" i="30"/>
  <c r="S5" i="21" s="1"/>
  <c r="AD6" i="30"/>
  <c r="Q5" i="21" s="1"/>
  <c r="AE5" i="30"/>
  <c r="AF5" i="30"/>
  <c r="AD5" i="30"/>
  <c r="AE4" i="30"/>
  <c r="R3" i="21" s="1"/>
  <c r="AF4" i="30"/>
  <c r="S3" i="21" s="1"/>
  <c r="AD4" i="30"/>
  <c r="A39" i="30"/>
  <c r="B39" i="30" s="1"/>
  <c r="F68" i="30"/>
  <c r="F67" i="30"/>
  <c r="F66" i="30"/>
  <c r="F65" i="30"/>
  <c r="F64" i="30"/>
  <c r="F63" i="30"/>
  <c r="F62" i="30"/>
  <c r="F61" i="30"/>
  <c r="F60" i="30"/>
  <c r="F59" i="30"/>
  <c r="F58" i="30"/>
  <c r="F57" i="30"/>
  <c r="F56" i="30"/>
  <c r="F55" i="30"/>
  <c r="F54" i="30"/>
  <c r="F53" i="30"/>
  <c r="F52" i="30"/>
  <c r="F51" i="30"/>
  <c r="F50" i="30"/>
  <c r="F49" i="30"/>
  <c r="F48" i="30"/>
  <c r="F47" i="30"/>
  <c r="F46" i="30"/>
  <c r="F45" i="30"/>
  <c r="F44" i="30"/>
  <c r="F43" i="30"/>
  <c r="F42" i="30"/>
  <c r="F41" i="30"/>
  <c r="F40" i="30"/>
  <c r="F39" i="30"/>
  <c r="O4" i="30"/>
  <c r="O5" i="30" s="1"/>
  <c r="T34" i="30"/>
  <c r="T33" i="30"/>
  <c r="T32" i="30"/>
  <c r="T31" i="30"/>
  <c r="T30" i="30"/>
  <c r="T29" i="30"/>
  <c r="T28" i="30"/>
  <c r="T27" i="30"/>
  <c r="T26" i="30"/>
  <c r="T25" i="30"/>
  <c r="T24" i="30"/>
  <c r="T23" i="30"/>
  <c r="T22" i="30"/>
  <c r="T21" i="30"/>
  <c r="T20" i="30"/>
  <c r="T19" i="30"/>
  <c r="T18" i="30"/>
  <c r="T17" i="30"/>
  <c r="T16" i="30"/>
  <c r="T15" i="30"/>
  <c r="T14" i="30"/>
  <c r="T13" i="30"/>
  <c r="T12" i="30"/>
  <c r="T11" i="30"/>
  <c r="T10" i="30"/>
  <c r="T9" i="30"/>
  <c r="T8" i="30"/>
  <c r="T7" i="30"/>
  <c r="T6" i="30"/>
  <c r="T5" i="30"/>
  <c r="T4" i="30"/>
  <c r="H4" i="30"/>
  <c r="H5" i="30" s="1"/>
  <c r="A4" i="30"/>
  <c r="B4" i="30" s="1"/>
  <c r="M32" i="30"/>
  <c r="M31" i="30"/>
  <c r="M30" i="30"/>
  <c r="M29" i="30"/>
  <c r="M28" i="30"/>
  <c r="M27" i="30"/>
  <c r="M26" i="30"/>
  <c r="M25" i="30"/>
  <c r="M24" i="30"/>
  <c r="M23" i="30"/>
  <c r="M22" i="30"/>
  <c r="M21" i="30"/>
  <c r="M20" i="30"/>
  <c r="M19" i="30"/>
  <c r="M18" i="30"/>
  <c r="M17" i="30"/>
  <c r="M16" i="30"/>
  <c r="M15" i="30"/>
  <c r="M14" i="30"/>
  <c r="M13" i="30"/>
  <c r="M12" i="30"/>
  <c r="M11" i="30"/>
  <c r="M10" i="30"/>
  <c r="M9" i="30"/>
  <c r="M8" i="30"/>
  <c r="M7" i="30"/>
  <c r="M6" i="30"/>
  <c r="M5" i="30"/>
  <c r="M4" i="30"/>
  <c r="F34" i="30"/>
  <c r="F33" i="30"/>
  <c r="F32" i="30"/>
  <c r="F31" i="30"/>
  <c r="F30" i="30"/>
  <c r="F29" i="30"/>
  <c r="F28" i="30"/>
  <c r="F27" i="30"/>
  <c r="F26" i="30"/>
  <c r="F25" i="30"/>
  <c r="F24" i="30"/>
  <c r="F23" i="30"/>
  <c r="F22" i="30"/>
  <c r="F21" i="30"/>
  <c r="F20" i="30"/>
  <c r="F19" i="30"/>
  <c r="F18" i="30"/>
  <c r="F17" i="30"/>
  <c r="F16" i="30"/>
  <c r="F15" i="30"/>
  <c r="F14" i="30"/>
  <c r="F13" i="30"/>
  <c r="F12" i="30"/>
  <c r="F11" i="30"/>
  <c r="F10" i="30"/>
  <c r="F9" i="30"/>
  <c r="F8" i="30"/>
  <c r="F7" i="30"/>
  <c r="F6" i="30"/>
  <c r="F5" i="30"/>
  <c r="F4" i="30"/>
  <c r="W7" i="30" l="1"/>
  <c r="X7" i="30"/>
  <c r="S4" i="21"/>
  <c r="Y7" i="30"/>
  <c r="U4" i="21"/>
  <c r="Z3" i="30"/>
  <c r="Q4" i="21"/>
  <c r="R4" i="21"/>
  <c r="AG5" i="30"/>
  <c r="T4" i="21" s="1"/>
  <c r="AG6" i="30"/>
  <c r="T5" i="21" s="1"/>
  <c r="AG7" i="30"/>
  <c r="T6" i="21" s="1"/>
  <c r="U3" i="21"/>
  <c r="H113" i="30"/>
  <c r="I112" i="30"/>
  <c r="O112" i="30"/>
  <c r="P111" i="30"/>
  <c r="B110" i="30"/>
  <c r="A111" i="30"/>
  <c r="O77" i="30"/>
  <c r="P76" i="30"/>
  <c r="H77" i="30"/>
  <c r="I76" i="30"/>
  <c r="A76" i="30"/>
  <c r="B75" i="30"/>
  <c r="O42" i="30"/>
  <c r="P41" i="30"/>
  <c r="H42" i="30"/>
  <c r="I41" i="30"/>
  <c r="AG4" i="30"/>
  <c r="Q3" i="21"/>
  <c r="A40" i="30"/>
  <c r="O6" i="30"/>
  <c r="P5" i="30"/>
  <c r="P4" i="30"/>
  <c r="H6" i="30"/>
  <c r="I5" i="30"/>
  <c r="I4" i="30"/>
  <c r="A5" i="30"/>
  <c r="T39" i="27"/>
  <c r="Y22" i="30" s="1"/>
  <c r="F2" i="21" l="1"/>
  <c r="X18" i="30"/>
  <c r="X11" i="30"/>
  <c r="X16" i="30"/>
  <c r="Z7" i="30"/>
  <c r="Z11" i="30" s="1"/>
  <c r="Y11" i="30"/>
  <c r="W16" i="30"/>
  <c r="Y16" i="30"/>
  <c r="I113" i="30"/>
  <c r="H114" i="30"/>
  <c r="O113" i="30"/>
  <c r="P112" i="30"/>
  <c r="A112" i="30"/>
  <c r="B111" i="30"/>
  <c r="O78" i="30"/>
  <c r="P77" i="30"/>
  <c r="H78" i="30"/>
  <c r="I77" i="30"/>
  <c r="A77" i="30"/>
  <c r="B76" i="30"/>
  <c r="P42" i="30"/>
  <c r="O43" i="30"/>
  <c r="H43" i="30"/>
  <c r="I42" i="30"/>
  <c r="T3" i="21"/>
  <c r="A41" i="30"/>
  <c r="B40" i="30"/>
  <c r="O7" i="30"/>
  <c r="P6" i="30"/>
  <c r="I6" i="30"/>
  <c r="H7" i="30"/>
  <c r="A6" i="30"/>
  <c r="B5" i="30"/>
  <c r="W7" i="27"/>
  <c r="W8" i="27"/>
  <c r="W9" i="27"/>
  <c r="W10" i="27"/>
  <c r="W11" i="27"/>
  <c r="W12" i="27"/>
  <c r="W13" i="27"/>
  <c r="W14" i="27"/>
  <c r="W15" i="27"/>
  <c r="W16" i="27"/>
  <c r="W17" i="27"/>
  <c r="W18" i="27"/>
  <c r="W19" i="27"/>
  <c r="W20" i="27"/>
  <c r="W21" i="27"/>
  <c r="W22" i="27"/>
  <c r="W23" i="27"/>
  <c r="W24" i="27"/>
  <c r="W25" i="27"/>
  <c r="W26" i="27"/>
  <c r="W27" i="27"/>
  <c r="W28" i="27"/>
  <c r="W29" i="27"/>
  <c r="W30" i="27"/>
  <c r="W31" i="27"/>
  <c r="W32" i="27"/>
  <c r="W33" i="27"/>
  <c r="W34" i="27"/>
  <c r="W39" i="27"/>
  <c r="W40" i="27"/>
  <c r="W41" i="27"/>
  <c r="W42" i="27"/>
  <c r="W43" i="27"/>
  <c r="W44" i="27"/>
  <c r="W45" i="27"/>
  <c r="W46" i="27"/>
  <c r="W47" i="27"/>
  <c r="W48" i="27"/>
  <c r="W49" i="27"/>
  <c r="W50" i="27"/>
  <c r="W51" i="27"/>
  <c r="W52" i="27"/>
  <c r="W53" i="27"/>
  <c r="W54" i="27"/>
  <c r="W55" i="27"/>
  <c r="W56" i="27"/>
  <c r="W57" i="27"/>
  <c r="W58" i="27"/>
  <c r="W59" i="27"/>
  <c r="W60" i="27"/>
  <c r="W61" i="27"/>
  <c r="W62" i="27"/>
  <c r="W63" i="27"/>
  <c r="W64" i="27"/>
  <c r="W65" i="27"/>
  <c r="W66" i="27"/>
  <c r="W6" i="27"/>
  <c r="AD68" i="27"/>
  <c r="U68" i="27"/>
  <c r="M68" i="27"/>
  <c r="E68" i="27"/>
  <c r="D68" i="27"/>
  <c r="W67" i="27" l="1"/>
  <c r="W35" i="27"/>
  <c r="Z16" i="30"/>
  <c r="H115" i="30"/>
  <c r="I114" i="30"/>
  <c r="O114" i="30"/>
  <c r="P113" i="30"/>
  <c r="B112" i="30"/>
  <c r="A113" i="30"/>
  <c r="O79" i="30"/>
  <c r="P78" i="30"/>
  <c r="H79" i="30"/>
  <c r="I78" i="30"/>
  <c r="A78" i="30"/>
  <c r="B77" i="30"/>
  <c r="O44" i="30"/>
  <c r="P43" i="30"/>
  <c r="H44" i="30"/>
  <c r="I43" i="30"/>
  <c r="A42" i="30"/>
  <c r="B41" i="30"/>
  <c r="O8" i="30"/>
  <c r="P7" i="30"/>
  <c r="H8" i="30"/>
  <c r="I7" i="30"/>
  <c r="A7" i="30"/>
  <c r="B6" i="30"/>
  <c r="W68" i="27" l="1"/>
  <c r="C10" i="26" s="1"/>
  <c r="H116" i="30"/>
  <c r="I115" i="30"/>
  <c r="P114" i="30"/>
  <c r="O115" i="30"/>
  <c r="A114" i="30"/>
  <c r="B113" i="30"/>
  <c r="O80" i="30"/>
  <c r="P79" i="30"/>
  <c r="H80" i="30"/>
  <c r="I79" i="30"/>
  <c r="A79" i="30"/>
  <c r="B78" i="30"/>
  <c r="P44" i="30"/>
  <c r="O45" i="30"/>
  <c r="H45" i="30"/>
  <c r="I44" i="30"/>
  <c r="A43" i="30"/>
  <c r="B42" i="30"/>
  <c r="O9" i="30"/>
  <c r="P8" i="30"/>
  <c r="H9" i="30"/>
  <c r="I8" i="30"/>
  <c r="B7" i="30"/>
  <c r="A8" i="30"/>
  <c r="E23" i="24"/>
  <c r="E24" i="24" s="1"/>
  <c r="I24" i="24" s="1"/>
  <c r="H117" i="30" l="1"/>
  <c r="I116" i="30"/>
  <c r="O116" i="30"/>
  <c r="P115" i="30"/>
  <c r="A115" i="30"/>
  <c r="B114" i="30"/>
  <c r="P80" i="30"/>
  <c r="O81" i="30"/>
  <c r="I80" i="30"/>
  <c r="H81" i="30"/>
  <c r="A80" i="30"/>
  <c r="B79" i="30"/>
  <c r="O46" i="30"/>
  <c r="P45" i="30"/>
  <c r="I45" i="30"/>
  <c r="H46" i="30"/>
  <c r="B43" i="30"/>
  <c r="A44" i="30"/>
  <c r="O10" i="30"/>
  <c r="P9" i="30"/>
  <c r="H10" i="30"/>
  <c r="I9" i="30"/>
  <c r="A9" i="30"/>
  <c r="B8" i="30"/>
  <c r="I23" i="24"/>
  <c r="H118" i="30" l="1"/>
  <c r="I117" i="30"/>
  <c r="O117" i="30"/>
  <c r="P116" i="30"/>
  <c r="A116" i="30"/>
  <c r="B115" i="30"/>
  <c r="O82" i="30"/>
  <c r="P81" i="30"/>
  <c r="H82" i="30"/>
  <c r="I81" i="30"/>
  <c r="B80" i="30"/>
  <c r="A81" i="30"/>
  <c r="O47" i="30"/>
  <c r="P46" i="30"/>
  <c r="H47" i="30"/>
  <c r="I46" i="30"/>
  <c r="A45" i="30"/>
  <c r="B44" i="30"/>
  <c r="P10" i="30"/>
  <c r="O11" i="30"/>
  <c r="I10" i="30"/>
  <c r="H11" i="30"/>
  <c r="B9" i="30"/>
  <c r="A10" i="30"/>
  <c r="Q64" i="20"/>
  <c r="Q63" i="20"/>
  <c r="Q62" i="20"/>
  <c r="Q61" i="20"/>
  <c r="Q52" i="20"/>
  <c r="Q51" i="20"/>
  <c r="Q50" i="20"/>
  <c r="Q49" i="20"/>
  <c r="Q48" i="20"/>
  <c r="Q47" i="20"/>
  <c r="Q46" i="20"/>
  <c r="Q45" i="20"/>
  <c r="Q44" i="20"/>
  <c r="Q43" i="20"/>
  <c r="Q42" i="20"/>
  <c r="Q41" i="20"/>
  <c r="Q40" i="20"/>
  <c r="Q39" i="20"/>
  <c r="Q38" i="20"/>
  <c r="Q37" i="20"/>
  <c r="Q36" i="20"/>
  <c r="Q35" i="20"/>
  <c r="Q34" i="20"/>
  <c r="Q33" i="20"/>
  <c r="Q32" i="20"/>
  <c r="Q31" i="20"/>
  <c r="Q30" i="20"/>
  <c r="Q29" i="20"/>
  <c r="Q28" i="20"/>
  <c r="Q27" i="20"/>
  <c r="Q26" i="20"/>
  <c r="Q25" i="20"/>
  <c r="Q24" i="20"/>
  <c r="Q23" i="20"/>
  <c r="Q22" i="20"/>
  <c r="Q21" i="20"/>
  <c r="Q20" i="20"/>
  <c r="Q19" i="20"/>
  <c r="Q18" i="20"/>
  <c r="Q17" i="20"/>
  <c r="Q16" i="20"/>
  <c r="Q15" i="20"/>
  <c r="Q14" i="20"/>
  <c r="Q13" i="20"/>
  <c r="Q12" i="20"/>
  <c r="Q11" i="20"/>
  <c r="Q9" i="20"/>
  <c r="Q8" i="20"/>
  <c r="Q5" i="20"/>
  <c r="L9" i="22"/>
  <c r="P7" i="22"/>
  <c r="O7" i="22"/>
  <c r="N9" i="22" s="1"/>
  <c r="N7" i="22"/>
  <c r="L7" i="22"/>
  <c r="E21" i="22"/>
  <c r="E22" i="22"/>
  <c r="E23" i="22"/>
  <c r="E24" i="22"/>
  <c r="E25" i="22"/>
  <c r="K3" i="20"/>
  <c r="S3" i="20"/>
  <c r="T3" i="20"/>
  <c r="U3" i="20"/>
  <c r="V3" i="20"/>
  <c r="W3" i="20"/>
  <c r="X3" i="20"/>
  <c r="Y3" i="20"/>
  <c r="Z3" i="20"/>
  <c r="AA3" i="20"/>
  <c r="AB3" i="20"/>
  <c r="AC3" i="20"/>
  <c r="AD3" i="20"/>
  <c r="AE3" i="20"/>
  <c r="AF3" i="20"/>
  <c r="AG3" i="20"/>
  <c r="AH3" i="20"/>
  <c r="AI3" i="20"/>
  <c r="AJ3" i="20"/>
  <c r="AK3" i="20"/>
  <c r="AL3" i="20"/>
  <c r="AM3" i="20"/>
  <c r="AN3" i="20"/>
  <c r="K4" i="20"/>
  <c r="T4" i="20"/>
  <c r="U4" i="20"/>
  <c r="V4" i="20"/>
  <c r="W4" i="20"/>
  <c r="X4" i="20"/>
  <c r="Y4" i="20"/>
  <c r="Z4" i="20"/>
  <c r="AA4" i="20"/>
  <c r="AB4" i="20"/>
  <c r="AC4" i="20"/>
  <c r="AD4" i="20"/>
  <c r="AE4" i="20"/>
  <c r="AF4" i="20"/>
  <c r="AG4" i="20"/>
  <c r="AH4" i="20"/>
  <c r="AI4" i="20"/>
  <c r="AJ4" i="20"/>
  <c r="AK4" i="20"/>
  <c r="AL4" i="20"/>
  <c r="AM4" i="20"/>
  <c r="AN4" i="20"/>
  <c r="K5" i="20"/>
  <c r="S5" i="20"/>
  <c r="V5" i="20"/>
  <c r="W5" i="20"/>
  <c r="Y5" i="20"/>
  <c r="Z5" i="20"/>
  <c r="AA5" i="20"/>
  <c r="AB5" i="20"/>
  <c r="AC5" i="20"/>
  <c r="AD5" i="20"/>
  <c r="AE5" i="20"/>
  <c r="AF5" i="20"/>
  <c r="AG5" i="20"/>
  <c r="AH5" i="20"/>
  <c r="AI5" i="20"/>
  <c r="AJ5" i="20"/>
  <c r="AK5" i="20"/>
  <c r="AL5" i="20"/>
  <c r="AM5" i="20"/>
  <c r="AN5" i="20"/>
  <c r="K6" i="20"/>
  <c r="R6" i="20"/>
  <c r="U6" i="20"/>
  <c r="V6" i="20"/>
  <c r="W6" i="20"/>
  <c r="Y6" i="20"/>
  <c r="Z6" i="20"/>
  <c r="AA6" i="20"/>
  <c r="AB6" i="20"/>
  <c r="AC6" i="20"/>
  <c r="AD6" i="20"/>
  <c r="AE6" i="20"/>
  <c r="AF6" i="20"/>
  <c r="AG6" i="20"/>
  <c r="AH6" i="20"/>
  <c r="AI6" i="20"/>
  <c r="AJ6" i="20"/>
  <c r="AK6" i="20"/>
  <c r="AL6" i="20"/>
  <c r="AM6" i="20"/>
  <c r="AN6" i="20"/>
  <c r="K7" i="20"/>
  <c r="R7" i="20"/>
  <c r="T7" i="20"/>
  <c r="V7" i="20"/>
  <c r="X7" i="20"/>
  <c r="Y7" i="20"/>
  <c r="Z7" i="20"/>
  <c r="AA7" i="20"/>
  <c r="AB7" i="20"/>
  <c r="AC7" i="20"/>
  <c r="AD7" i="20"/>
  <c r="AE7" i="20"/>
  <c r="AF7" i="20"/>
  <c r="AG7" i="20"/>
  <c r="AH7" i="20"/>
  <c r="AI7" i="20"/>
  <c r="AJ7" i="20"/>
  <c r="AK7" i="20"/>
  <c r="AL7" i="20"/>
  <c r="AM7" i="20"/>
  <c r="AN7" i="20"/>
  <c r="K8" i="20"/>
  <c r="S8" i="20"/>
  <c r="T8" i="20"/>
  <c r="U8" i="20"/>
  <c r="W8" i="20"/>
  <c r="Y8" i="20"/>
  <c r="Z8" i="20"/>
  <c r="AA8" i="20"/>
  <c r="AB8" i="20"/>
  <c r="AC8" i="20"/>
  <c r="AD8" i="20"/>
  <c r="AE8" i="20"/>
  <c r="AF8" i="20"/>
  <c r="AG8" i="20"/>
  <c r="AH8" i="20"/>
  <c r="AI8" i="20"/>
  <c r="AJ8" i="20"/>
  <c r="AK8" i="20"/>
  <c r="AL8" i="20"/>
  <c r="AM8" i="20"/>
  <c r="AN8" i="20"/>
  <c r="S9" i="20"/>
  <c r="T9" i="20"/>
  <c r="U9" i="20"/>
  <c r="X9" i="20"/>
  <c r="Y9" i="20"/>
  <c r="AC9" i="20"/>
  <c r="AD9" i="20"/>
  <c r="AE9" i="20"/>
  <c r="AF9" i="20"/>
  <c r="AG9" i="20"/>
  <c r="AH9" i="20"/>
  <c r="AI9" i="20"/>
  <c r="AJ9" i="20"/>
  <c r="AK9" i="20"/>
  <c r="AL9" i="20"/>
  <c r="AM9" i="20"/>
  <c r="AN9" i="20"/>
  <c r="R10" i="20"/>
  <c r="S10" i="20"/>
  <c r="T10" i="20"/>
  <c r="V10" i="20"/>
  <c r="W10" i="20"/>
  <c r="X10" i="20"/>
  <c r="Z10" i="20"/>
  <c r="AC10" i="20"/>
  <c r="AD10" i="20"/>
  <c r="AE10" i="20"/>
  <c r="AF10" i="20"/>
  <c r="AG10" i="20"/>
  <c r="AH10" i="20"/>
  <c r="AI10" i="20"/>
  <c r="AJ10" i="20"/>
  <c r="AK10" i="20"/>
  <c r="AL10" i="20"/>
  <c r="AM10" i="20"/>
  <c r="AN10" i="20"/>
  <c r="S11" i="20"/>
  <c r="T11" i="20"/>
  <c r="U11" i="20"/>
  <c r="V11" i="20"/>
  <c r="W11" i="20"/>
  <c r="Y11" i="20"/>
  <c r="Z11" i="20"/>
  <c r="AA11" i="20"/>
  <c r="AB11" i="20"/>
  <c r="AD11" i="20"/>
  <c r="AE11" i="20"/>
  <c r="AF11" i="20"/>
  <c r="AG11" i="20"/>
  <c r="AI11" i="20"/>
  <c r="AJ11" i="20"/>
  <c r="AK11" i="20"/>
  <c r="AL11" i="20"/>
  <c r="AM11" i="20"/>
  <c r="AN11" i="20"/>
  <c r="R12" i="20"/>
  <c r="T12" i="20"/>
  <c r="U12" i="20"/>
  <c r="V12" i="20"/>
  <c r="X12" i="20"/>
  <c r="Z12" i="20"/>
  <c r="AA12" i="20"/>
  <c r="AB12" i="20"/>
  <c r="AD12" i="20"/>
  <c r="AE12" i="20"/>
  <c r="AF12" i="20"/>
  <c r="AG12" i="20"/>
  <c r="AH12" i="20"/>
  <c r="AI12" i="20"/>
  <c r="AJ12" i="20"/>
  <c r="AK12" i="20"/>
  <c r="AL12" i="20"/>
  <c r="AM12" i="20"/>
  <c r="AN12" i="20"/>
  <c r="R13" i="20"/>
  <c r="S13" i="20"/>
  <c r="T13" i="20"/>
  <c r="V13" i="20"/>
  <c r="X13" i="20"/>
  <c r="Z13" i="20"/>
  <c r="AA13" i="20"/>
  <c r="AB13" i="20"/>
  <c r="AD13" i="20"/>
  <c r="AF13" i="20"/>
  <c r="AG13" i="20"/>
  <c r="AH13" i="20"/>
  <c r="AI13" i="20"/>
  <c r="AJ13" i="20"/>
  <c r="AK13" i="20"/>
  <c r="AL13" i="20"/>
  <c r="AM13" i="20"/>
  <c r="AN13" i="20"/>
  <c r="R14" i="20"/>
  <c r="S14" i="20"/>
  <c r="U14" i="20"/>
  <c r="V14" i="20"/>
  <c r="W14" i="20"/>
  <c r="Y14" i="20"/>
  <c r="Z14" i="20"/>
  <c r="AA14" i="20"/>
  <c r="AD14" i="20"/>
  <c r="AH14" i="20"/>
  <c r="AI14" i="20"/>
  <c r="AJ14" i="20"/>
  <c r="AK14" i="20"/>
  <c r="AL14" i="20"/>
  <c r="AM14" i="20"/>
  <c r="AN14" i="20"/>
  <c r="R15" i="20"/>
  <c r="S15" i="20"/>
  <c r="T15" i="20"/>
  <c r="U15" i="20"/>
  <c r="V15" i="20"/>
  <c r="X15" i="20"/>
  <c r="Y15" i="20"/>
  <c r="Z15" i="20"/>
  <c r="AB15" i="20"/>
  <c r="AC15" i="20"/>
  <c r="AD15" i="20"/>
  <c r="AI15" i="20"/>
  <c r="AK15" i="20"/>
  <c r="AL15" i="20"/>
  <c r="AM15" i="20"/>
  <c r="AN15" i="20"/>
  <c r="R16" i="20"/>
  <c r="S16" i="20"/>
  <c r="T16" i="20"/>
  <c r="U16" i="20"/>
  <c r="V16" i="20"/>
  <c r="X16" i="20"/>
  <c r="Y16" i="20"/>
  <c r="Z16" i="20"/>
  <c r="AB16" i="20"/>
  <c r="AC16" i="20"/>
  <c r="AD16" i="20"/>
  <c r="AE16" i="20"/>
  <c r="AF16" i="20"/>
  <c r="AI16" i="20"/>
  <c r="AJ16" i="20"/>
  <c r="AK16" i="20"/>
  <c r="AL16" i="20"/>
  <c r="AM16" i="20"/>
  <c r="AN16" i="20"/>
  <c r="R17" i="20"/>
  <c r="S17" i="20"/>
  <c r="T17" i="20"/>
  <c r="U17" i="20"/>
  <c r="V17" i="20"/>
  <c r="W17" i="20"/>
  <c r="X17" i="20"/>
  <c r="Y17" i="20"/>
  <c r="AA17" i="20"/>
  <c r="AB17" i="20"/>
  <c r="AC17" i="20"/>
  <c r="AE17" i="20"/>
  <c r="AF17" i="20"/>
  <c r="AG17" i="20"/>
  <c r="AI17" i="20"/>
  <c r="AJ17" i="20"/>
  <c r="AK17" i="20"/>
  <c r="AL17" i="20"/>
  <c r="AM17" i="20"/>
  <c r="AN17" i="20"/>
  <c r="R18" i="20"/>
  <c r="S18" i="20"/>
  <c r="T18" i="20"/>
  <c r="U18" i="20"/>
  <c r="V18" i="20"/>
  <c r="W18" i="20"/>
  <c r="X18" i="20"/>
  <c r="Y18" i="20"/>
  <c r="Z18" i="20"/>
  <c r="AA18" i="20"/>
  <c r="AC18" i="20"/>
  <c r="AE18" i="20"/>
  <c r="AF18" i="20"/>
  <c r="AG18" i="20"/>
  <c r="AI18" i="20"/>
  <c r="AJ18" i="20"/>
  <c r="AK18" i="20"/>
  <c r="AL18" i="20"/>
  <c r="AM18" i="20"/>
  <c r="AN18" i="20"/>
  <c r="R19" i="20"/>
  <c r="S19" i="20"/>
  <c r="T19" i="20"/>
  <c r="U19" i="20"/>
  <c r="V19" i="20"/>
  <c r="W19" i="20"/>
  <c r="X19" i="20"/>
  <c r="Y19" i="20"/>
  <c r="Z19" i="20"/>
  <c r="AA19" i="20"/>
  <c r="AC19" i="20"/>
  <c r="AE19" i="20"/>
  <c r="AF19" i="20"/>
  <c r="AG19" i="20"/>
  <c r="AH19" i="20"/>
  <c r="AI19" i="20"/>
  <c r="AJ19" i="20"/>
  <c r="AK19" i="20"/>
  <c r="AM19" i="20"/>
  <c r="AN19" i="20"/>
  <c r="R20" i="20"/>
  <c r="S20" i="20"/>
  <c r="T20" i="20"/>
  <c r="U20" i="20"/>
  <c r="V20" i="20"/>
  <c r="W20" i="20"/>
  <c r="X20" i="20"/>
  <c r="Y20" i="20"/>
  <c r="Z20" i="20"/>
  <c r="AB20" i="20"/>
  <c r="AD20" i="20"/>
  <c r="AE20" i="20"/>
  <c r="AF20" i="20"/>
  <c r="AG20" i="20"/>
  <c r="AH20" i="20"/>
  <c r="AI20" i="20"/>
  <c r="AJ20" i="20"/>
  <c r="AK20" i="20"/>
  <c r="AL20" i="20"/>
  <c r="AM20" i="20"/>
  <c r="AN20" i="20"/>
  <c r="R21" i="20"/>
  <c r="S21" i="20"/>
  <c r="T21" i="20"/>
  <c r="U21" i="20"/>
  <c r="V21" i="20"/>
  <c r="W21" i="20"/>
  <c r="X21" i="20"/>
  <c r="Y21" i="20"/>
  <c r="Z21" i="20"/>
  <c r="AA21" i="20"/>
  <c r="AC21" i="20"/>
  <c r="AD21" i="20"/>
  <c r="AE21" i="20"/>
  <c r="AG21" i="20"/>
  <c r="AH21" i="20"/>
  <c r="AI21" i="20"/>
  <c r="AJ21" i="20"/>
  <c r="AK21" i="20"/>
  <c r="AL21" i="20"/>
  <c r="AM21" i="20"/>
  <c r="AN21" i="20"/>
  <c r="R22" i="20"/>
  <c r="S22" i="20"/>
  <c r="T22" i="20"/>
  <c r="U22" i="20"/>
  <c r="V22" i="20"/>
  <c r="W22" i="20"/>
  <c r="X22" i="20"/>
  <c r="Y22" i="20"/>
  <c r="Z22" i="20"/>
  <c r="AA22" i="20"/>
  <c r="AB22" i="20"/>
  <c r="AC22" i="20"/>
  <c r="AE22" i="20"/>
  <c r="AG22" i="20"/>
  <c r="AH22" i="20"/>
  <c r="AI22" i="20"/>
  <c r="AJ22" i="20"/>
  <c r="AK22" i="20"/>
  <c r="AL22" i="20"/>
  <c r="AM22" i="20"/>
  <c r="AN22" i="20"/>
  <c r="R23" i="20"/>
  <c r="S23" i="20"/>
  <c r="T23" i="20"/>
  <c r="U23" i="20"/>
  <c r="V23" i="20"/>
  <c r="W23" i="20"/>
  <c r="X23" i="20"/>
  <c r="Y23" i="20"/>
  <c r="Z23" i="20"/>
  <c r="AA23" i="20"/>
  <c r="AB23" i="20"/>
  <c r="AD23" i="20"/>
  <c r="AE23" i="20"/>
  <c r="AF23" i="20"/>
  <c r="AH23" i="20"/>
  <c r="AI23" i="20"/>
  <c r="AJ23" i="20"/>
  <c r="AK23" i="20"/>
  <c r="AL23" i="20"/>
  <c r="AM23" i="20"/>
  <c r="AN23" i="20"/>
  <c r="R24" i="20"/>
  <c r="S24" i="20"/>
  <c r="T24" i="20"/>
  <c r="U24" i="20"/>
  <c r="V24" i="20"/>
  <c r="W24" i="20"/>
  <c r="X24" i="20"/>
  <c r="Y24" i="20"/>
  <c r="Z24" i="20"/>
  <c r="AA24" i="20"/>
  <c r="AB24" i="20"/>
  <c r="AC24" i="20"/>
  <c r="AE24" i="20"/>
  <c r="AF24" i="20"/>
  <c r="AG24" i="20"/>
  <c r="AI24" i="20"/>
  <c r="AJ24" i="20"/>
  <c r="AK24" i="20"/>
  <c r="AL24" i="20"/>
  <c r="AM24" i="20"/>
  <c r="AN24" i="20"/>
  <c r="R25" i="20"/>
  <c r="S25" i="20"/>
  <c r="T25" i="20"/>
  <c r="U25" i="20"/>
  <c r="V25" i="20"/>
  <c r="W25" i="20"/>
  <c r="X25" i="20"/>
  <c r="Y25" i="20"/>
  <c r="Z25" i="20"/>
  <c r="AA25" i="20"/>
  <c r="AB25" i="20"/>
  <c r="AD25" i="20"/>
  <c r="AE25" i="20"/>
  <c r="AF25" i="20"/>
  <c r="AH25" i="20"/>
  <c r="AI25" i="20"/>
  <c r="AJ25" i="20"/>
  <c r="AK25" i="20"/>
  <c r="AL25" i="20"/>
  <c r="AM25" i="20"/>
  <c r="AN25" i="20"/>
  <c r="R26" i="20"/>
  <c r="S26" i="20"/>
  <c r="T26" i="20"/>
  <c r="U26" i="20"/>
  <c r="V26" i="20"/>
  <c r="W26" i="20"/>
  <c r="X26" i="20"/>
  <c r="Y26" i="20"/>
  <c r="Z26" i="20"/>
  <c r="AA26" i="20"/>
  <c r="AB26" i="20"/>
  <c r="AC26" i="20"/>
  <c r="AD26" i="20"/>
  <c r="AF26" i="20"/>
  <c r="AG26" i="20"/>
  <c r="AH26" i="20"/>
  <c r="AJ26" i="20"/>
  <c r="AK26" i="20"/>
  <c r="AL26" i="20"/>
  <c r="AM26" i="20"/>
  <c r="AN26" i="20"/>
  <c r="R27" i="20"/>
  <c r="S27" i="20"/>
  <c r="T27" i="20"/>
  <c r="U27" i="20"/>
  <c r="V27" i="20"/>
  <c r="W27" i="20"/>
  <c r="X27" i="20"/>
  <c r="Y27" i="20"/>
  <c r="Z27" i="20"/>
  <c r="AA27" i="20"/>
  <c r="AB27" i="20"/>
  <c r="AC27" i="20"/>
  <c r="AD27" i="20"/>
  <c r="AE27" i="20"/>
  <c r="AG27" i="20"/>
  <c r="AH27" i="20"/>
  <c r="AI27" i="20"/>
  <c r="AJ27" i="20"/>
  <c r="AK27" i="20"/>
  <c r="AM27" i="20"/>
  <c r="AN27" i="20"/>
  <c r="R28" i="20"/>
  <c r="S28" i="20"/>
  <c r="T28" i="20"/>
  <c r="U28" i="20"/>
  <c r="V28" i="20"/>
  <c r="W28" i="20"/>
  <c r="X28" i="20"/>
  <c r="Y28" i="20"/>
  <c r="Z28" i="20"/>
  <c r="AA28" i="20"/>
  <c r="AB28" i="20"/>
  <c r="AC28" i="20"/>
  <c r="AD28" i="20"/>
  <c r="AE28" i="20"/>
  <c r="AF28" i="20"/>
  <c r="AH28" i="20"/>
  <c r="AI28" i="20"/>
  <c r="AJ28" i="20"/>
  <c r="AL28" i="20"/>
  <c r="AM28" i="20"/>
  <c r="AN28" i="20"/>
  <c r="R29" i="20"/>
  <c r="S29" i="20"/>
  <c r="T29" i="20"/>
  <c r="U29" i="20"/>
  <c r="V29" i="20"/>
  <c r="W29" i="20"/>
  <c r="X29" i="20"/>
  <c r="Y29" i="20"/>
  <c r="Z29" i="20"/>
  <c r="AA29" i="20"/>
  <c r="AB29" i="20"/>
  <c r="AC29" i="20"/>
  <c r="AD29" i="20"/>
  <c r="AE29" i="20"/>
  <c r="AF29" i="20"/>
  <c r="AH29" i="20"/>
  <c r="AI29" i="20"/>
  <c r="AJ29" i="20"/>
  <c r="AK29" i="20"/>
  <c r="AL29" i="20"/>
  <c r="AM29" i="20"/>
  <c r="AN29" i="20"/>
  <c r="R30" i="20"/>
  <c r="S30" i="20"/>
  <c r="T30" i="20"/>
  <c r="U30" i="20"/>
  <c r="V30" i="20"/>
  <c r="W30" i="20"/>
  <c r="X30" i="20"/>
  <c r="Y30" i="20"/>
  <c r="Z30" i="20"/>
  <c r="AA30" i="20"/>
  <c r="AB30" i="20"/>
  <c r="AC30" i="20"/>
  <c r="AD30" i="20"/>
  <c r="AE30" i="20"/>
  <c r="AF30" i="20"/>
  <c r="AH30" i="20"/>
  <c r="AI30" i="20"/>
  <c r="AJ30" i="20"/>
  <c r="AK30" i="20"/>
  <c r="AL30" i="20"/>
  <c r="AM30" i="20"/>
  <c r="AN30" i="20"/>
  <c r="R31" i="20"/>
  <c r="S31" i="20"/>
  <c r="T31" i="20"/>
  <c r="U31" i="20"/>
  <c r="V31" i="20"/>
  <c r="W31" i="20"/>
  <c r="X31" i="20"/>
  <c r="Y31" i="20"/>
  <c r="Z31" i="20"/>
  <c r="AA31" i="20"/>
  <c r="AB31" i="20"/>
  <c r="AC31" i="20"/>
  <c r="AD31" i="20"/>
  <c r="AE31" i="20"/>
  <c r="AF31" i="20"/>
  <c r="AG31" i="20"/>
  <c r="AH31" i="20"/>
  <c r="AJ31" i="20"/>
  <c r="AK31" i="20"/>
  <c r="AL31" i="20"/>
  <c r="AM31" i="20"/>
  <c r="AN31" i="20"/>
  <c r="R32" i="20"/>
  <c r="S32" i="20"/>
  <c r="T32" i="20"/>
  <c r="U32" i="20"/>
  <c r="V32" i="20"/>
  <c r="W32" i="20"/>
  <c r="X32" i="20"/>
  <c r="Y32" i="20"/>
  <c r="Z32" i="20"/>
  <c r="AA32" i="20"/>
  <c r="AB32" i="20"/>
  <c r="AC32" i="20"/>
  <c r="AD32" i="20"/>
  <c r="AE32" i="20"/>
  <c r="AF32" i="20"/>
  <c r="AG32" i="20"/>
  <c r="AH32" i="20"/>
  <c r="AI32" i="20"/>
  <c r="AJ32" i="20"/>
  <c r="AL32" i="20"/>
  <c r="AM32" i="20"/>
  <c r="AN32" i="20"/>
  <c r="R33" i="20"/>
  <c r="S33" i="20"/>
  <c r="T33" i="20"/>
  <c r="U33" i="20"/>
  <c r="V33" i="20"/>
  <c r="W33" i="20"/>
  <c r="X33" i="20"/>
  <c r="Y33" i="20"/>
  <c r="Z33" i="20"/>
  <c r="AA33" i="20"/>
  <c r="AB33" i="20"/>
  <c r="AC33" i="20"/>
  <c r="AD33" i="20"/>
  <c r="AE33" i="20"/>
  <c r="AF33" i="20"/>
  <c r="AG33" i="20"/>
  <c r="AH33" i="20"/>
  <c r="AI33" i="20"/>
  <c r="AJ33" i="20"/>
  <c r="AL33" i="20"/>
  <c r="AM33" i="20"/>
  <c r="AN33" i="20"/>
  <c r="R34" i="20"/>
  <c r="S34" i="20"/>
  <c r="T34" i="20"/>
  <c r="U34" i="20"/>
  <c r="V34" i="20"/>
  <c r="W34" i="20"/>
  <c r="X34" i="20"/>
  <c r="Y34" i="20"/>
  <c r="Z34" i="20"/>
  <c r="AA34" i="20"/>
  <c r="AB34" i="20"/>
  <c r="AC34" i="20"/>
  <c r="AD34" i="20"/>
  <c r="AE34" i="20"/>
  <c r="AF34" i="20"/>
  <c r="AG34" i="20"/>
  <c r="AH34" i="20"/>
  <c r="AI34" i="20"/>
  <c r="AJ34" i="20"/>
  <c r="AK34" i="20"/>
  <c r="AL34" i="20"/>
  <c r="AM34" i="20"/>
  <c r="AN34" i="20"/>
  <c r="R35" i="20"/>
  <c r="S35" i="20"/>
  <c r="T35" i="20"/>
  <c r="U35" i="20"/>
  <c r="V35" i="20"/>
  <c r="W35" i="20"/>
  <c r="X35" i="20"/>
  <c r="Y35" i="20"/>
  <c r="Z35" i="20"/>
  <c r="AA35" i="20"/>
  <c r="AB35" i="20"/>
  <c r="AC35" i="20"/>
  <c r="AD35" i="20"/>
  <c r="AE35" i="20"/>
  <c r="AF35" i="20"/>
  <c r="AG35" i="20"/>
  <c r="AH35" i="20"/>
  <c r="AI35" i="20"/>
  <c r="AJ35" i="20"/>
  <c r="AK35" i="20"/>
  <c r="AL35" i="20"/>
  <c r="AM35" i="20"/>
  <c r="AN35" i="20"/>
  <c r="R36" i="20"/>
  <c r="S36" i="20"/>
  <c r="T36" i="20"/>
  <c r="U36" i="20"/>
  <c r="V36" i="20"/>
  <c r="W36" i="20"/>
  <c r="X36" i="20"/>
  <c r="Y36" i="20"/>
  <c r="Z36" i="20"/>
  <c r="AA36" i="20"/>
  <c r="AB36" i="20"/>
  <c r="AC36" i="20"/>
  <c r="AD36" i="20"/>
  <c r="AE36" i="20"/>
  <c r="AF36" i="20"/>
  <c r="AG36" i="20"/>
  <c r="AH36" i="20"/>
  <c r="AI36" i="20"/>
  <c r="AJ36" i="20"/>
  <c r="AK36" i="20"/>
  <c r="AL36" i="20"/>
  <c r="AM36" i="20"/>
  <c r="AN36" i="20"/>
  <c r="R37" i="20"/>
  <c r="S37" i="20"/>
  <c r="T37" i="20"/>
  <c r="U37" i="20"/>
  <c r="V37" i="20"/>
  <c r="W37" i="20"/>
  <c r="X37" i="20"/>
  <c r="Y37" i="20"/>
  <c r="Z37" i="20"/>
  <c r="AA37" i="20"/>
  <c r="AB37" i="20"/>
  <c r="AC37" i="20"/>
  <c r="AD37" i="20"/>
  <c r="AE37" i="20"/>
  <c r="AF37" i="20"/>
  <c r="AG37" i="20"/>
  <c r="AH37" i="20"/>
  <c r="AI37" i="20"/>
  <c r="AJ37" i="20"/>
  <c r="AK37" i="20"/>
  <c r="AL37" i="20"/>
  <c r="AM37" i="20"/>
  <c r="AN37" i="20"/>
  <c r="R38" i="20"/>
  <c r="S38" i="20"/>
  <c r="T38" i="20"/>
  <c r="U38" i="20"/>
  <c r="V38" i="20"/>
  <c r="W38" i="20"/>
  <c r="X38" i="20"/>
  <c r="Y38" i="20"/>
  <c r="Z38" i="20"/>
  <c r="AA38" i="20"/>
  <c r="AB38" i="20"/>
  <c r="AC38" i="20"/>
  <c r="AD38" i="20"/>
  <c r="AE38" i="20"/>
  <c r="AF38" i="20"/>
  <c r="AG38" i="20"/>
  <c r="AH38" i="20"/>
  <c r="AI38" i="20"/>
  <c r="AJ38" i="20"/>
  <c r="AK38" i="20"/>
  <c r="AL38" i="20"/>
  <c r="AM38" i="20"/>
  <c r="AN38" i="20"/>
  <c r="R39" i="20"/>
  <c r="S39" i="20"/>
  <c r="T39" i="20"/>
  <c r="U39" i="20"/>
  <c r="V39" i="20"/>
  <c r="W39" i="20"/>
  <c r="X39" i="20"/>
  <c r="Y39" i="20"/>
  <c r="Z39" i="20"/>
  <c r="AA39" i="20"/>
  <c r="AB39" i="20"/>
  <c r="AC39" i="20"/>
  <c r="AD39" i="20"/>
  <c r="AE39" i="20"/>
  <c r="AF39" i="20"/>
  <c r="AG39" i="20"/>
  <c r="AH39" i="20"/>
  <c r="AI39" i="20"/>
  <c r="AJ39" i="20"/>
  <c r="AK39" i="20"/>
  <c r="AL39" i="20"/>
  <c r="AM39" i="20"/>
  <c r="AN39" i="20"/>
  <c r="R40" i="20"/>
  <c r="S40" i="20"/>
  <c r="T40" i="20"/>
  <c r="U40" i="20"/>
  <c r="V40" i="20"/>
  <c r="W40" i="20"/>
  <c r="X40" i="20"/>
  <c r="Y40" i="20"/>
  <c r="Z40" i="20"/>
  <c r="AA40" i="20"/>
  <c r="AB40" i="20"/>
  <c r="AC40" i="20"/>
  <c r="AD40" i="20"/>
  <c r="AE40" i="20"/>
  <c r="AF40" i="20"/>
  <c r="AG40" i="20"/>
  <c r="AH40" i="20"/>
  <c r="AI40" i="20"/>
  <c r="AJ40" i="20"/>
  <c r="AK40" i="20"/>
  <c r="AL40" i="20"/>
  <c r="AM40" i="20"/>
  <c r="AN40" i="20"/>
  <c r="R41" i="20"/>
  <c r="S41" i="20"/>
  <c r="T41" i="20"/>
  <c r="U41" i="20"/>
  <c r="V41" i="20"/>
  <c r="W41" i="20"/>
  <c r="X41" i="20"/>
  <c r="Y41" i="20"/>
  <c r="Z41" i="20"/>
  <c r="AA41" i="20"/>
  <c r="AB41" i="20"/>
  <c r="AC41" i="20"/>
  <c r="AD41" i="20"/>
  <c r="AE41" i="20"/>
  <c r="AF41" i="20"/>
  <c r="AG41" i="20"/>
  <c r="AH41" i="20"/>
  <c r="AI41" i="20"/>
  <c r="AJ41" i="20"/>
  <c r="AK41" i="20"/>
  <c r="AL41" i="20"/>
  <c r="AM41" i="20"/>
  <c r="AN41" i="20"/>
  <c r="R42" i="20"/>
  <c r="S42" i="20"/>
  <c r="T42" i="20"/>
  <c r="U42" i="20"/>
  <c r="V42" i="20"/>
  <c r="W42" i="20"/>
  <c r="X42" i="20"/>
  <c r="Y42" i="20"/>
  <c r="Z42" i="20"/>
  <c r="AA42" i="20"/>
  <c r="AB42" i="20"/>
  <c r="AC42" i="20"/>
  <c r="AD42" i="20"/>
  <c r="AE42" i="20"/>
  <c r="AF42" i="20"/>
  <c r="AG42" i="20"/>
  <c r="AH42" i="20"/>
  <c r="AI42" i="20"/>
  <c r="AJ42" i="20"/>
  <c r="AK42" i="20"/>
  <c r="AL42" i="20"/>
  <c r="AM42" i="20"/>
  <c r="AN42" i="20"/>
  <c r="R43" i="20"/>
  <c r="S43" i="20"/>
  <c r="T43" i="20"/>
  <c r="U43" i="20"/>
  <c r="V43" i="20"/>
  <c r="W43" i="20"/>
  <c r="X43" i="20"/>
  <c r="Y43" i="20"/>
  <c r="Z43" i="20"/>
  <c r="AA43" i="20"/>
  <c r="AB43" i="20"/>
  <c r="AC43" i="20"/>
  <c r="AD43" i="20"/>
  <c r="AE43" i="20"/>
  <c r="AF43" i="20"/>
  <c r="AG43" i="20"/>
  <c r="AH43" i="20"/>
  <c r="AI43" i="20"/>
  <c r="AJ43" i="20"/>
  <c r="AK43" i="20"/>
  <c r="AL43" i="20"/>
  <c r="AM43" i="20"/>
  <c r="AN43" i="20"/>
  <c r="R44" i="20"/>
  <c r="S44" i="20"/>
  <c r="T44" i="20"/>
  <c r="U44" i="20"/>
  <c r="V44" i="20"/>
  <c r="W44" i="20"/>
  <c r="X44" i="20"/>
  <c r="Y44" i="20"/>
  <c r="Z44" i="20"/>
  <c r="AA44" i="20"/>
  <c r="AB44" i="20"/>
  <c r="AC44" i="20"/>
  <c r="AD44" i="20"/>
  <c r="AE44" i="20"/>
  <c r="AF44" i="20"/>
  <c r="AG44" i="20"/>
  <c r="AH44" i="20"/>
  <c r="AI44" i="20"/>
  <c r="AJ44" i="20"/>
  <c r="AK44" i="20"/>
  <c r="AL44" i="20"/>
  <c r="AM44" i="20"/>
  <c r="AN44" i="20"/>
  <c r="R45" i="20"/>
  <c r="S45" i="20"/>
  <c r="T45" i="20"/>
  <c r="U45" i="20"/>
  <c r="V45" i="20"/>
  <c r="W45" i="20"/>
  <c r="X45" i="20"/>
  <c r="Y45" i="20"/>
  <c r="Z45" i="20"/>
  <c r="AA45" i="20"/>
  <c r="AB45" i="20"/>
  <c r="AC45" i="20"/>
  <c r="AD45" i="20"/>
  <c r="AE45" i="20"/>
  <c r="AF45" i="20"/>
  <c r="AG45" i="20"/>
  <c r="AH45" i="20"/>
  <c r="AI45" i="20"/>
  <c r="AJ45" i="20"/>
  <c r="AK45" i="20"/>
  <c r="AL45" i="20"/>
  <c r="AM45" i="20"/>
  <c r="AN45" i="20"/>
  <c r="R46" i="20"/>
  <c r="S46" i="20"/>
  <c r="T46" i="20"/>
  <c r="U46" i="20"/>
  <c r="V46" i="20"/>
  <c r="W46" i="20"/>
  <c r="X46" i="20"/>
  <c r="Y46" i="20"/>
  <c r="Z46" i="20"/>
  <c r="AA46" i="20"/>
  <c r="AB46" i="20"/>
  <c r="AC46" i="20"/>
  <c r="AD46" i="20"/>
  <c r="AE46" i="20"/>
  <c r="AF46" i="20"/>
  <c r="AG46" i="20"/>
  <c r="AH46" i="20"/>
  <c r="AI46" i="20"/>
  <c r="AJ46" i="20"/>
  <c r="AK46" i="20"/>
  <c r="AL46" i="20"/>
  <c r="AM46" i="20"/>
  <c r="AN46" i="20"/>
  <c r="R47" i="20"/>
  <c r="S47" i="20"/>
  <c r="T47" i="20"/>
  <c r="U47" i="20"/>
  <c r="V47" i="20"/>
  <c r="W47" i="20"/>
  <c r="X47" i="20"/>
  <c r="Y47" i="20"/>
  <c r="Z47" i="20"/>
  <c r="AA47" i="20"/>
  <c r="AB47" i="20"/>
  <c r="AC47" i="20"/>
  <c r="AD47" i="20"/>
  <c r="AE47" i="20"/>
  <c r="AF47" i="20"/>
  <c r="AG47" i="20"/>
  <c r="AH47" i="20"/>
  <c r="AI47" i="20"/>
  <c r="AJ47" i="20"/>
  <c r="AK47" i="20"/>
  <c r="AL47" i="20"/>
  <c r="AM47" i="20"/>
  <c r="AN47" i="20"/>
  <c r="R48" i="20"/>
  <c r="S48" i="20"/>
  <c r="T48" i="20"/>
  <c r="U48" i="20"/>
  <c r="V48" i="20"/>
  <c r="W48" i="20"/>
  <c r="X48" i="20"/>
  <c r="Y48" i="20"/>
  <c r="Z48" i="20"/>
  <c r="AA48" i="20"/>
  <c r="AB48" i="20"/>
  <c r="AC48" i="20"/>
  <c r="AD48" i="20"/>
  <c r="AE48" i="20"/>
  <c r="AF48" i="20"/>
  <c r="AG48" i="20"/>
  <c r="AH48" i="20"/>
  <c r="AI48" i="20"/>
  <c r="AJ48" i="20"/>
  <c r="AK48" i="20"/>
  <c r="AL48" i="20"/>
  <c r="AM48" i="20"/>
  <c r="AN48" i="20"/>
  <c r="R49" i="20"/>
  <c r="S49" i="20"/>
  <c r="T49" i="20"/>
  <c r="U49" i="20"/>
  <c r="V49" i="20"/>
  <c r="W49" i="20"/>
  <c r="X49" i="20"/>
  <c r="Y49" i="20"/>
  <c r="Z49" i="20"/>
  <c r="AA49" i="20"/>
  <c r="AB49" i="20"/>
  <c r="AC49" i="20"/>
  <c r="AD49" i="20"/>
  <c r="AE49" i="20"/>
  <c r="AF49" i="20"/>
  <c r="AG49" i="20"/>
  <c r="AH49" i="20"/>
  <c r="AI49" i="20"/>
  <c r="AJ49" i="20"/>
  <c r="AK49" i="20"/>
  <c r="AL49" i="20"/>
  <c r="AM49" i="20"/>
  <c r="AN49" i="20"/>
  <c r="R50" i="20"/>
  <c r="S50" i="20"/>
  <c r="T50" i="20"/>
  <c r="U50" i="20"/>
  <c r="V50" i="20"/>
  <c r="W50" i="20"/>
  <c r="X50" i="20"/>
  <c r="Y50" i="20"/>
  <c r="Z50" i="20"/>
  <c r="AA50" i="20"/>
  <c r="AB50" i="20"/>
  <c r="AC50" i="20"/>
  <c r="AD50" i="20"/>
  <c r="AE50" i="20"/>
  <c r="AF50" i="20"/>
  <c r="AG50" i="20"/>
  <c r="AH50" i="20"/>
  <c r="AI50" i="20"/>
  <c r="AJ50" i="20"/>
  <c r="AK50" i="20"/>
  <c r="AL50" i="20"/>
  <c r="AM50" i="20"/>
  <c r="AN50" i="20"/>
  <c r="R51" i="20"/>
  <c r="S51" i="20"/>
  <c r="T51" i="20"/>
  <c r="U51" i="20"/>
  <c r="V51" i="20"/>
  <c r="W51" i="20"/>
  <c r="X51" i="20"/>
  <c r="Y51" i="20"/>
  <c r="Z51" i="20"/>
  <c r="AA51" i="20"/>
  <c r="AB51" i="20"/>
  <c r="AC51" i="20"/>
  <c r="AD51" i="20"/>
  <c r="AE51" i="20"/>
  <c r="AF51" i="20"/>
  <c r="AG51" i="20"/>
  <c r="AH51" i="20"/>
  <c r="AI51" i="20"/>
  <c r="AJ51" i="20"/>
  <c r="AK51" i="20"/>
  <c r="AL51" i="20"/>
  <c r="AM51" i="20"/>
  <c r="AN51" i="20"/>
  <c r="R52" i="20"/>
  <c r="S52" i="20"/>
  <c r="T52" i="20"/>
  <c r="U52" i="20"/>
  <c r="V52" i="20"/>
  <c r="W52" i="20"/>
  <c r="X52" i="20"/>
  <c r="Y52" i="20"/>
  <c r="Z52" i="20"/>
  <c r="AA52" i="20"/>
  <c r="AB52" i="20"/>
  <c r="AC52" i="20"/>
  <c r="AD52" i="20"/>
  <c r="AE52" i="20"/>
  <c r="AF52" i="20"/>
  <c r="AG52" i="20"/>
  <c r="AH52" i="20"/>
  <c r="AI52" i="20"/>
  <c r="AJ52" i="20"/>
  <c r="AK52" i="20"/>
  <c r="AL52" i="20"/>
  <c r="AM52" i="20"/>
  <c r="AN52" i="20"/>
  <c r="R61" i="20"/>
  <c r="S61" i="20"/>
  <c r="T61" i="20"/>
  <c r="U61" i="20"/>
  <c r="V61" i="20"/>
  <c r="W61" i="20"/>
  <c r="X61" i="20"/>
  <c r="Y61" i="20"/>
  <c r="Z61" i="20"/>
  <c r="AA61" i="20"/>
  <c r="AB61" i="20"/>
  <c r="AC61" i="20"/>
  <c r="AD61" i="20"/>
  <c r="AE61" i="20"/>
  <c r="AF61" i="20"/>
  <c r="AG61" i="20"/>
  <c r="AH61" i="20"/>
  <c r="AI61" i="20"/>
  <c r="AJ61" i="20"/>
  <c r="AK61" i="20"/>
  <c r="AL61" i="20"/>
  <c r="AM61" i="20"/>
  <c r="AN61" i="20"/>
  <c r="R62" i="20"/>
  <c r="S62" i="20"/>
  <c r="T62" i="20"/>
  <c r="U62" i="20"/>
  <c r="V62" i="20"/>
  <c r="W62" i="20"/>
  <c r="X62" i="20"/>
  <c r="Y62" i="20"/>
  <c r="Z62" i="20"/>
  <c r="AA62" i="20"/>
  <c r="AB62" i="20"/>
  <c r="AC62" i="20"/>
  <c r="AD62" i="20"/>
  <c r="AE62" i="20"/>
  <c r="AF62" i="20"/>
  <c r="AG62" i="20"/>
  <c r="AH62" i="20"/>
  <c r="AI62" i="20"/>
  <c r="AJ62" i="20"/>
  <c r="AK62" i="20"/>
  <c r="AL62" i="20"/>
  <c r="AM62" i="20"/>
  <c r="AN62" i="20"/>
  <c r="R63" i="20"/>
  <c r="S63" i="20"/>
  <c r="T63" i="20"/>
  <c r="U63" i="20"/>
  <c r="V63" i="20"/>
  <c r="W63" i="20"/>
  <c r="X63" i="20"/>
  <c r="Y63" i="20"/>
  <c r="Z63" i="20"/>
  <c r="AA63" i="20"/>
  <c r="AB63" i="20"/>
  <c r="AC63" i="20"/>
  <c r="AD63" i="20"/>
  <c r="AE63" i="20"/>
  <c r="AF63" i="20"/>
  <c r="AG63" i="20"/>
  <c r="AH63" i="20"/>
  <c r="AI63" i="20"/>
  <c r="AJ63" i="20"/>
  <c r="AK63" i="20"/>
  <c r="AL63" i="20"/>
  <c r="AM63" i="20"/>
  <c r="AN63" i="20"/>
  <c r="R64" i="20"/>
  <c r="S64" i="20"/>
  <c r="T64" i="20"/>
  <c r="U64" i="20"/>
  <c r="V64" i="20"/>
  <c r="W64" i="20"/>
  <c r="X64" i="20"/>
  <c r="Y64" i="20"/>
  <c r="Z64" i="20"/>
  <c r="AA64" i="20"/>
  <c r="AB64" i="20"/>
  <c r="AC64" i="20"/>
  <c r="AD64" i="20"/>
  <c r="AE64" i="20"/>
  <c r="AF64" i="20"/>
  <c r="AG64" i="20"/>
  <c r="AH64" i="20"/>
  <c r="AI64" i="20"/>
  <c r="AJ64" i="20"/>
  <c r="AK64" i="20"/>
  <c r="AL64" i="20"/>
  <c r="AM64" i="20"/>
  <c r="AN64" i="20"/>
  <c r="A65" i="20"/>
  <c r="AC68" i="27" s="1"/>
  <c r="C6" i="26"/>
  <c r="E65" i="20"/>
  <c r="H66" i="20"/>
  <c r="J66" i="20"/>
  <c r="D16" i="22" s="1"/>
  <c r="S69" i="20"/>
  <c r="U69" i="20" s="1"/>
  <c r="W69" i="20" s="1"/>
  <c r="Y69" i="20" s="1"/>
  <c r="AA69" i="20" s="1"/>
  <c r="AC69" i="20" s="1"/>
  <c r="AE69" i="20" s="1"/>
  <c r="AG69" i="20" s="1"/>
  <c r="AI69" i="20" s="1"/>
  <c r="AK69" i="20" s="1"/>
  <c r="AM69" i="20" s="1"/>
  <c r="A4" i="23"/>
  <c r="A5" i="23"/>
  <c r="A6" i="23"/>
  <c r="A7" i="23"/>
  <c r="A8" i="23"/>
  <c r="A9" i="23"/>
  <c r="A10" i="23"/>
  <c r="A11" i="23"/>
  <c r="A12" i="23"/>
  <c r="A13" i="23"/>
  <c r="A14" i="23"/>
  <c r="A15" i="23"/>
  <c r="A16" i="23"/>
  <c r="A17" i="23"/>
  <c r="A18" i="23"/>
  <c r="A19" i="23"/>
  <c r="A20" i="23"/>
  <c r="A21" i="23"/>
  <c r="A22" i="23"/>
  <c r="A23" i="23"/>
  <c r="A24" i="23"/>
  <c r="A25" i="23"/>
  <c r="A26" i="23"/>
  <c r="A27" i="23"/>
  <c r="A28" i="23"/>
  <c r="A29" i="23"/>
  <c r="A30" i="23"/>
  <c r="A31" i="23"/>
  <c r="A32" i="23"/>
  <c r="A33" i="23"/>
  <c r="A34" i="23"/>
  <c r="A35" i="23"/>
  <c r="A36" i="23"/>
  <c r="A37" i="23"/>
  <c r="A38" i="23"/>
  <c r="A39" i="23"/>
  <c r="A40" i="23"/>
  <c r="A41" i="23"/>
  <c r="A42" i="23"/>
  <c r="A43" i="23"/>
  <c r="A44" i="23"/>
  <c r="A45" i="23"/>
  <c r="A46" i="23"/>
  <c r="A47" i="23"/>
  <c r="A48" i="23"/>
  <c r="A49" i="23"/>
  <c r="A50" i="23"/>
  <c r="A51" i="23"/>
  <c r="A52" i="23"/>
  <c r="A53" i="23"/>
  <c r="A54" i="23"/>
  <c r="A55" i="23"/>
  <c r="A56" i="23"/>
  <c r="A57" i="23"/>
  <c r="D8" i="33" l="1"/>
  <c r="AF11" i="27"/>
  <c r="D7" i="33"/>
  <c r="Q7" i="33" s="1"/>
  <c r="AF10" i="27"/>
  <c r="AF9" i="27"/>
  <c r="D6" i="33"/>
  <c r="AF8" i="27"/>
  <c r="D5" i="33"/>
  <c r="AF7" i="27"/>
  <c r="D4" i="33"/>
  <c r="D14" i="33"/>
  <c r="Q14" i="33" s="1"/>
  <c r="AF17" i="27"/>
  <c r="W10" i="21" s="1"/>
  <c r="AF18" i="27"/>
  <c r="W14" i="21" s="1"/>
  <c r="D15" i="33"/>
  <c r="Q15" i="33" s="1"/>
  <c r="D13" i="33"/>
  <c r="AF16" i="27"/>
  <c r="D3" i="33"/>
  <c r="D9" i="33"/>
  <c r="D8" i="22"/>
  <c r="D12" i="22" s="1"/>
  <c r="C8" i="26"/>
  <c r="AF15" i="27"/>
  <c r="AF14" i="27"/>
  <c r="AF13" i="27"/>
  <c r="W11" i="21" s="1"/>
  <c r="AF12" i="27"/>
  <c r="AF6" i="27"/>
  <c r="W12" i="21" s="1"/>
  <c r="I118" i="30"/>
  <c r="H119" i="30"/>
  <c r="O118" i="30"/>
  <c r="P117" i="30"/>
  <c r="B116" i="30"/>
  <c r="A117" i="30"/>
  <c r="O83" i="30"/>
  <c r="P82" i="30"/>
  <c r="I82" i="30"/>
  <c r="H83" i="30"/>
  <c r="A82" i="30"/>
  <c r="B81" i="30"/>
  <c r="P47" i="30"/>
  <c r="O48" i="30"/>
  <c r="H48" i="30"/>
  <c r="I47" i="30"/>
  <c r="D11" i="22"/>
  <c r="P66" i="20"/>
  <c r="A46" i="30"/>
  <c r="B45" i="30"/>
  <c r="O12" i="30"/>
  <c r="P11" i="30"/>
  <c r="H12" i="30"/>
  <c r="I11" i="30"/>
  <c r="A11" i="30"/>
  <c r="B10" i="30"/>
  <c r="K66" i="20"/>
  <c r="AN66" i="20"/>
  <c r="AM66" i="20"/>
  <c r="G66" i="20"/>
  <c r="G65" i="20"/>
  <c r="P9" i="22"/>
  <c r="P11" i="22" s="1"/>
  <c r="F11" i="22" s="1"/>
  <c r="F14" i="22" s="1"/>
  <c r="O9" i="22"/>
  <c r="O11" i="22" s="1"/>
  <c r="N11" i="22"/>
  <c r="F8" i="22" s="1"/>
  <c r="W9" i="21" l="1"/>
  <c r="W8" i="21"/>
  <c r="W7" i="21"/>
  <c r="W4" i="21"/>
  <c r="P4" i="33"/>
  <c r="S3" i="33"/>
  <c r="T3" i="33" s="1"/>
  <c r="S4" i="33" s="1"/>
  <c r="T4" i="33" s="1"/>
  <c r="S5" i="33" s="1"/>
  <c r="T5" i="33" s="1"/>
  <c r="S6" i="33" s="1"/>
  <c r="T6" i="33" s="1"/>
  <c r="S7" i="33" s="1"/>
  <c r="T7" i="33" s="1"/>
  <c r="S8" i="33" s="1"/>
  <c r="T8" i="33" s="1"/>
  <c r="S9" i="33" s="1"/>
  <c r="T9" i="33" s="1"/>
  <c r="S10" i="33" s="1"/>
  <c r="W3" i="21"/>
  <c r="W5" i="21"/>
  <c r="X22" i="30"/>
  <c r="X23" i="30" s="1"/>
  <c r="W6" i="21"/>
  <c r="L3" i="33"/>
  <c r="N3" i="33" s="1"/>
  <c r="H3" i="33"/>
  <c r="J3" i="33" s="1"/>
  <c r="L4" i="33"/>
  <c r="H4" i="33"/>
  <c r="P9" i="33"/>
  <c r="H9" i="33"/>
  <c r="L9" i="33"/>
  <c r="P13" i="33"/>
  <c r="L13" i="33"/>
  <c r="H13" i="33"/>
  <c r="L7" i="33"/>
  <c r="H7" i="33"/>
  <c r="L15" i="33"/>
  <c r="H15" i="33"/>
  <c r="L14" i="33"/>
  <c r="H14" i="33"/>
  <c r="L5" i="33"/>
  <c r="H5" i="33"/>
  <c r="H6" i="33"/>
  <c r="L6" i="33"/>
  <c r="H8" i="33"/>
  <c r="L8" i="33"/>
  <c r="P8" i="33"/>
  <c r="P7" i="33"/>
  <c r="P6" i="33"/>
  <c r="P5" i="33"/>
  <c r="P3" i="33"/>
  <c r="Q3" i="33" s="1"/>
  <c r="P14" i="33"/>
  <c r="V14" i="21"/>
  <c r="P15" i="33"/>
  <c r="AE68" i="27"/>
  <c r="D13" i="22"/>
  <c r="D9" i="22"/>
  <c r="D15" i="22" s="1"/>
  <c r="C3" i="26"/>
  <c r="G3" i="26" s="1"/>
  <c r="H3" i="26" s="1"/>
  <c r="D14" i="22"/>
  <c r="H120" i="30"/>
  <c r="I119" i="30"/>
  <c r="P118" i="30"/>
  <c r="O119" i="30"/>
  <c r="A118" i="30"/>
  <c r="B117" i="30"/>
  <c r="O84" i="30"/>
  <c r="P83" i="30"/>
  <c r="I83" i="30"/>
  <c r="H84" i="30"/>
  <c r="A83" i="30"/>
  <c r="B82" i="30"/>
  <c r="P48" i="30"/>
  <c r="O49" i="30"/>
  <c r="H49" i="30"/>
  <c r="I48" i="30"/>
  <c r="C6" i="21"/>
  <c r="A47" i="30"/>
  <c r="B46" i="30"/>
  <c r="O13" i="30"/>
  <c r="P12" i="30"/>
  <c r="H13" i="30"/>
  <c r="I12" i="30"/>
  <c r="B11" i="30"/>
  <c r="A12" i="30"/>
  <c r="D6" i="21"/>
  <c r="B6" i="21"/>
  <c r="F9" i="22"/>
  <c r="F15" i="22" s="1"/>
  <c r="F12" i="22"/>
  <c r="X24" i="30" l="1"/>
  <c r="U3" i="33"/>
  <c r="O3" i="33"/>
  <c r="N4" i="33" s="1"/>
  <c r="O4" i="33" s="1"/>
  <c r="N5" i="33" s="1"/>
  <c r="U9" i="33"/>
  <c r="U8" i="33"/>
  <c r="U6" i="33"/>
  <c r="U5" i="33"/>
  <c r="T10" i="33"/>
  <c r="S11" i="33" s="1"/>
  <c r="U10" i="33"/>
  <c r="U4" i="33"/>
  <c r="U7" i="33"/>
  <c r="R3" i="33"/>
  <c r="K3" i="33"/>
  <c r="J4" i="33" s="1"/>
  <c r="I120" i="30"/>
  <c r="H121" i="30"/>
  <c r="P119" i="30"/>
  <c r="O120" i="30"/>
  <c r="A119" i="30"/>
  <c r="B118" i="30"/>
  <c r="P84" i="30"/>
  <c r="O85" i="30"/>
  <c r="H85" i="30"/>
  <c r="I84" i="30"/>
  <c r="A84" i="30"/>
  <c r="B83" i="30"/>
  <c r="O50" i="30"/>
  <c r="P49" i="30"/>
  <c r="I49" i="30"/>
  <c r="H50" i="30"/>
  <c r="C10" i="21"/>
  <c r="B47" i="30"/>
  <c r="A48" i="30"/>
  <c r="O14" i="30"/>
  <c r="P13" i="30"/>
  <c r="I13" i="30"/>
  <c r="H14" i="30"/>
  <c r="A13" i="30"/>
  <c r="B12" i="30"/>
  <c r="D10" i="21"/>
  <c r="E6" i="21"/>
  <c r="E10" i="21" s="1"/>
  <c r="C18" i="21"/>
  <c r="Q4" i="33" l="1"/>
  <c r="W4" i="33" s="1"/>
  <c r="X3" i="33"/>
  <c r="G3" i="33" s="1"/>
  <c r="F3" i="33" s="1"/>
  <c r="M3" i="20" s="1"/>
  <c r="W3" i="33"/>
  <c r="X4" i="33"/>
  <c r="G4" i="33" s="1"/>
  <c r="F4" i="33" s="1"/>
  <c r="U11" i="33"/>
  <c r="T11" i="33"/>
  <c r="S12" i="33" s="1"/>
  <c r="K4" i="33"/>
  <c r="J5" i="33" s="1"/>
  <c r="H122" i="30"/>
  <c r="I121" i="30"/>
  <c r="O121" i="30"/>
  <c r="P120" i="30"/>
  <c r="B119" i="30"/>
  <c r="A120" i="30"/>
  <c r="O86" i="30"/>
  <c r="P85" i="30"/>
  <c r="H86" i="30"/>
  <c r="I85" i="30"/>
  <c r="B84" i="30"/>
  <c r="A85" i="30"/>
  <c r="P50" i="30"/>
  <c r="O51" i="30"/>
  <c r="H51" i="30"/>
  <c r="I50" i="30"/>
  <c r="A49" i="30"/>
  <c r="B48" i="30"/>
  <c r="P14" i="30"/>
  <c r="O15" i="30"/>
  <c r="H15" i="30"/>
  <c r="I14" i="30"/>
  <c r="A14" i="30"/>
  <c r="B13" i="30"/>
  <c r="N3" i="20" l="1"/>
  <c r="R4" i="33"/>
  <c r="T12" i="33"/>
  <c r="S13" i="33" s="1"/>
  <c r="U12" i="33"/>
  <c r="K5" i="33"/>
  <c r="J6" i="33" s="1"/>
  <c r="R3" i="20"/>
  <c r="Q3" i="20"/>
  <c r="O5" i="33"/>
  <c r="N6" i="33" s="1"/>
  <c r="M4" i="20"/>
  <c r="S4" i="20" s="1"/>
  <c r="N4" i="20"/>
  <c r="H123" i="30"/>
  <c r="I122" i="30"/>
  <c r="P121" i="30"/>
  <c r="O122" i="30"/>
  <c r="A121" i="30"/>
  <c r="B120" i="30"/>
  <c r="O87" i="30"/>
  <c r="P86" i="30"/>
  <c r="H87" i="30"/>
  <c r="I86" i="30"/>
  <c r="A86" i="30"/>
  <c r="B85" i="30"/>
  <c r="P51" i="30"/>
  <c r="O52" i="30"/>
  <c r="H52" i="30"/>
  <c r="I51" i="30"/>
  <c r="B49" i="30"/>
  <c r="A50" i="30"/>
  <c r="P15" i="30"/>
  <c r="O16" i="30"/>
  <c r="I15" i="30"/>
  <c r="H16" i="30"/>
  <c r="B14" i="30"/>
  <c r="A15" i="30"/>
  <c r="Q5" i="33" l="1"/>
  <c r="T13" i="33"/>
  <c r="S14" i="33" s="1"/>
  <c r="U13" i="33"/>
  <c r="Q4" i="20"/>
  <c r="R4" i="20"/>
  <c r="K6" i="33"/>
  <c r="J7" i="33" s="1"/>
  <c r="H124" i="30"/>
  <c r="I123" i="30"/>
  <c r="P122" i="30"/>
  <c r="O123" i="30"/>
  <c r="A122" i="30"/>
  <c r="B121" i="30"/>
  <c r="O88" i="30"/>
  <c r="P87" i="30"/>
  <c r="H88" i="30"/>
  <c r="I87" i="30"/>
  <c r="A87" i="30"/>
  <c r="B86" i="30"/>
  <c r="O53" i="30"/>
  <c r="P52" i="30"/>
  <c r="H53" i="30"/>
  <c r="I52" i="30"/>
  <c r="B50" i="30"/>
  <c r="A51" i="30"/>
  <c r="O17" i="30"/>
  <c r="P16" i="30"/>
  <c r="H17" i="30"/>
  <c r="I16" i="30"/>
  <c r="B15" i="30"/>
  <c r="A16" i="30"/>
  <c r="W5" i="33" l="1"/>
  <c r="X5" i="33"/>
  <c r="G5" i="33" s="1"/>
  <c r="R5" i="33"/>
  <c r="Q6" i="33" s="1"/>
  <c r="X5" i="20"/>
  <c r="U5" i="20"/>
  <c r="W7" i="33"/>
  <c r="X7" i="33"/>
  <c r="T14" i="33"/>
  <c r="S15" i="33" s="1"/>
  <c r="U14" i="33"/>
  <c r="X14" i="33" s="1"/>
  <c r="W14" i="33"/>
  <c r="R5" i="20"/>
  <c r="T5" i="20"/>
  <c r="O6" i="33"/>
  <c r="I124" i="30"/>
  <c r="H125" i="30"/>
  <c r="O124" i="30"/>
  <c r="P123" i="30"/>
  <c r="A123" i="30"/>
  <c r="B122" i="30"/>
  <c r="O89" i="30"/>
  <c r="P88" i="30"/>
  <c r="H89" i="30"/>
  <c r="I88" i="30"/>
  <c r="A88" i="30"/>
  <c r="B87" i="30"/>
  <c r="O54" i="30"/>
  <c r="P53" i="30"/>
  <c r="H54" i="30"/>
  <c r="I53" i="30"/>
  <c r="A52" i="30"/>
  <c r="B51" i="30"/>
  <c r="O18" i="30"/>
  <c r="P17" i="30"/>
  <c r="I17" i="30"/>
  <c r="H18" i="30"/>
  <c r="A17" i="30"/>
  <c r="B16" i="30"/>
  <c r="F5" i="33" l="1"/>
  <c r="M5" i="20" s="1"/>
  <c r="N5" i="20"/>
  <c r="W6" i="33"/>
  <c r="R6" i="33"/>
  <c r="R7" i="33" s="1"/>
  <c r="X6" i="33"/>
  <c r="G6" i="33" s="1"/>
  <c r="F6" i="33" s="1"/>
  <c r="M6" i="20" s="1"/>
  <c r="Q6" i="20"/>
  <c r="X6" i="20"/>
  <c r="T15" i="33"/>
  <c r="S16" i="33" s="1"/>
  <c r="U15" i="33"/>
  <c r="X15" i="33" s="1"/>
  <c r="W15" i="33"/>
  <c r="N7" i="33"/>
  <c r="O7" i="33" s="1"/>
  <c r="N8" i="33" s="1"/>
  <c r="O8" i="33" s="1"/>
  <c r="N9" i="33" s="1"/>
  <c r="N6" i="20"/>
  <c r="S6" i="20"/>
  <c r="T6" i="20"/>
  <c r="K7" i="33"/>
  <c r="I125" i="30"/>
  <c r="H126" i="30"/>
  <c r="P124" i="30"/>
  <c r="O125" i="30"/>
  <c r="B123" i="30"/>
  <c r="A124" i="30"/>
  <c r="O90" i="30"/>
  <c r="P89" i="30"/>
  <c r="I89" i="30"/>
  <c r="H90" i="30"/>
  <c r="A89" i="30"/>
  <c r="B88" i="30"/>
  <c r="O55" i="30"/>
  <c r="P54" i="30"/>
  <c r="H55" i="30"/>
  <c r="I54" i="30"/>
  <c r="B52" i="30"/>
  <c r="A53" i="30"/>
  <c r="O19" i="30"/>
  <c r="P18" i="30"/>
  <c r="I18" i="30"/>
  <c r="H19" i="30"/>
  <c r="A18" i="30"/>
  <c r="B17" i="30"/>
  <c r="Q8" i="33" l="1"/>
  <c r="G7" i="33"/>
  <c r="T16" i="33"/>
  <c r="S17" i="33" s="1"/>
  <c r="U16" i="33"/>
  <c r="J8" i="33"/>
  <c r="S7" i="20"/>
  <c r="O9" i="33"/>
  <c r="N10" i="33" s="1"/>
  <c r="H127" i="30"/>
  <c r="I126" i="30"/>
  <c r="P125" i="30"/>
  <c r="O126" i="30"/>
  <c r="A125" i="30"/>
  <c r="B124" i="30"/>
  <c r="O91" i="30"/>
  <c r="P90" i="30"/>
  <c r="I90" i="30"/>
  <c r="H91" i="30"/>
  <c r="A90" i="30"/>
  <c r="B89" i="30"/>
  <c r="P55" i="30"/>
  <c r="O56" i="30"/>
  <c r="H56" i="30"/>
  <c r="I55" i="30"/>
  <c r="A54" i="30"/>
  <c r="B53" i="30"/>
  <c r="O20" i="30"/>
  <c r="P19" i="30"/>
  <c r="I19" i="30"/>
  <c r="H20" i="30"/>
  <c r="A19" i="30"/>
  <c r="B18" i="30"/>
  <c r="W8" i="33" l="1"/>
  <c r="X8" i="33"/>
  <c r="G8" i="33" s="1"/>
  <c r="F8" i="33" s="1"/>
  <c r="M8" i="20" s="1"/>
  <c r="X8" i="20" s="1"/>
  <c r="R8" i="33"/>
  <c r="Q9" i="33" s="1"/>
  <c r="K8" i="33"/>
  <c r="J9" i="33" s="1"/>
  <c r="F7" i="33"/>
  <c r="M7" i="20" s="1"/>
  <c r="W7" i="20" s="1"/>
  <c r="N7" i="20"/>
  <c r="T17" i="33"/>
  <c r="S18" i="33" s="1"/>
  <c r="U17" i="33"/>
  <c r="N8" i="20"/>
  <c r="H128" i="30"/>
  <c r="I127" i="30"/>
  <c r="P126" i="30"/>
  <c r="O127" i="30"/>
  <c r="A126" i="30"/>
  <c r="B125" i="30"/>
  <c r="P91" i="30"/>
  <c r="O92" i="30"/>
  <c r="H92" i="30"/>
  <c r="I91" i="30"/>
  <c r="A91" i="30"/>
  <c r="B90" i="30"/>
  <c r="O57" i="30"/>
  <c r="P56" i="30"/>
  <c r="I56" i="30"/>
  <c r="H57" i="30"/>
  <c r="A55" i="30"/>
  <c r="B54" i="30"/>
  <c r="O21" i="30"/>
  <c r="P20" i="30"/>
  <c r="H21" i="30"/>
  <c r="I20" i="30"/>
  <c r="B19" i="30"/>
  <c r="A20" i="30"/>
  <c r="X9" i="33" l="1"/>
  <c r="G9" i="33" s="1"/>
  <c r="W9" i="33"/>
  <c r="R9" i="33"/>
  <c r="Q10" i="33" s="1"/>
  <c r="V8" i="20"/>
  <c r="R8" i="20"/>
  <c r="U7" i="20"/>
  <c r="Q7" i="20"/>
  <c r="W18" i="33"/>
  <c r="T18" i="33"/>
  <c r="S19" i="33" s="1"/>
  <c r="U18" i="33"/>
  <c r="X18" i="33" s="1"/>
  <c r="K9" i="33"/>
  <c r="J10" i="33" s="1"/>
  <c r="O10" i="33"/>
  <c r="N11" i="33" s="1"/>
  <c r="H129" i="30"/>
  <c r="I128" i="30"/>
  <c r="P127" i="30"/>
  <c r="O128" i="30"/>
  <c r="B126" i="30"/>
  <c r="A127" i="30"/>
  <c r="O93" i="30"/>
  <c r="P92" i="30"/>
  <c r="H93" i="30"/>
  <c r="I92" i="30"/>
  <c r="B91" i="30"/>
  <c r="A92" i="30"/>
  <c r="O58" i="30"/>
  <c r="P57" i="30"/>
  <c r="I57" i="30"/>
  <c r="H58" i="30"/>
  <c r="A56" i="30"/>
  <c r="B55" i="30"/>
  <c r="P21" i="30"/>
  <c r="O22" i="30"/>
  <c r="I21" i="30"/>
  <c r="H22" i="30"/>
  <c r="B20" i="30"/>
  <c r="A21" i="30"/>
  <c r="X10" i="33" l="1"/>
  <c r="G10" i="33" s="1"/>
  <c r="W10" i="33"/>
  <c r="R10" i="33"/>
  <c r="Q11" i="33" s="1"/>
  <c r="T19" i="33"/>
  <c r="S20" i="33" s="1"/>
  <c r="U19" i="33"/>
  <c r="X19" i="33" s="1"/>
  <c r="W19" i="33"/>
  <c r="F9" i="33"/>
  <c r="M9" i="20" s="1"/>
  <c r="N9" i="20"/>
  <c r="K10" i="33"/>
  <c r="AA10" i="20"/>
  <c r="O11" i="33"/>
  <c r="N12" i="33" s="1"/>
  <c r="H130" i="30"/>
  <c r="I129" i="30"/>
  <c r="P128" i="30"/>
  <c r="O129" i="30"/>
  <c r="A128" i="30"/>
  <c r="B127" i="30"/>
  <c r="P93" i="30"/>
  <c r="O94" i="30"/>
  <c r="I93" i="30"/>
  <c r="H94" i="30"/>
  <c r="A93" i="30"/>
  <c r="B92" i="30"/>
  <c r="P58" i="30"/>
  <c r="O59" i="30"/>
  <c r="H59" i="30"/>
  <c r="I58" i="30"/>
  <c r="B56" i="30"/>
  <c r="A57" i="30"/>
  <c r="P22" i="30"/>
  <c r="O23" i="30"/>
  <c r="I22" i="30"/>
  <c r="H23" i="30"/>
  <c r="A22" i="30"/>
  <c r="B21" i="30"/>
  <c r="AB9" i="20" l="1"/>
  <c r="AA9" i="20"/>
  <c r="Z9" i="20"/>
  <c r="W9" i="20"/>
  <c r="W11" i="33"/>
  <c r="X11" i="33"/>
  <c r="R11" i="33"/>
  <c r="Q12" i="33" s="1"/>
  <c r="V9" i="20"/>
  <c r="V66" i="20" s="1"/>
  <c r="R9" i="20"/>
  <c r="W20" i="33"/>
  <c r="U20" i="33"/>
  <c r="X20" i="33" s="1"/>
  <c r="T20" i="33"/>
  <c r="S21" i="33" s="1"/>
  <c r="J11" i="33"/>
  <c r="F10" i="33"/>
  <c r="M10" i="20" s="1"/>
  <c r="N10" i="20"/>
  <c r="R11" i="20"/>
  <c r="AH11" i="20"/>
  <c r="O12" i="33"/>
  <c r="N13" i="33" s="1"/>
  <c r="H131" i="30"/>
  <c r="I130" i="30"/>
  <c r="O130" i="30"/>
  <c r="P129" i="30"/>
  <c r="A129" i="30"/>
  <c r="B128" i="30"/>
  <c r="O95" i="30"/>
  <c r="P94" i="30"/>
  <c r="H95" i="30"/>
  <c r="I94" i="30"/>
  <c r="A94" i="30"/>
  <c r="B93" i="30"/>
  <c r="O60" i="30"/>
  <c r="P59" i="30"/>
  <c r="H60" i="30"/>
  <c r="I59" i="30"/>
  <c r="A58" i="30"/>
  <c r="B57" i="30"/>
  <c r="P23" i="30"/>
  <c r="O24" i="30"/>
  <c r="I23" i="30"/>
  <c r="H24" i="30"/>
  <c r="B22" i="30"/>
  <c r="A23" i="30"/>
  <c r="Y10" i="20" l="1"/>
  <c r="AB10" i="20"/>
  <c r="W12" i="33"/>
  <c r="X12" i="33"/>
  <c r="R12" i="33"/>
  <c r="R66" i="20"/>
  <c r="U10" i="20"/>
  <c r="Q10" i="20"/>
  <c r="Q66" i="20" s="1"/>
  <c r="K11" i="33"/>
  <c r="J12" i="33" s="1"/>
  <c r="K12" i="33" s="1"/>
  <c r="J13" i="33" s="1"/>
  <c r="G11" i="33"/>
  <c r="W21" i="33"/>
  <c r="T21" i="33"/>
  <c r="S22" i="33" s="1"/>
  <c r="U21" i="33"/>
  <c r="X21" i="33" s="1"/>
  <c r="S12" i="20"/>
  <c r="S66" i="20" s="1"/>
  <c r="Y12" i="20"/>
  <c r="O13" i="33"/>
  <c r="N14" i="33" s="1"/>
  <c r="H132" i="30"/>
  <c r="I131" i="30"/>
  <c r="O131" i="30"/>
  <c r="P130" i="30"/>
  <c r="A130" i="30"/>
  <c r="B129" i="30"/>
  <c r="O96" i="30"/>
  <c r="P95" i="30"/>
  <c r="H96" i="30"/>
  <c r="I95" i="30"/>
  <c r="A95" i="30"/>
  <c r="B94" i="30"/>
  <c r="O61" i="30"/>
  <c r="P60" i="30"/>
  <c r="I60" i="30"/>
  <c r="H61" i="30"/>
  <c r="B58" i="30"/>
  <c r="A59" i="30"/>
  <c r="O25" i="30"/>
  <c r="P24" i="30"/>
  <c r="H25" i="30"/>
  <c r="I24" i="30"/>
  <c r="B23" i="30"/>
  <c r="A24" i="30"/>
  <c r="Q13" i="33" l="1"/>
  <c r="Q68" i="20"/>
  <c r="V3" i="21"/>
  <c r="G12" i="33"/>
  <c r="W22" i="33"/>
  <c r="T22" i="33"/>
  <c r="S23" i="33" s="1"/>
  <c r="U22" i="33"/>
  <c r="X22" i="33" s="1"/>
  <c r="F11" i="33"/>
  <c r="M11" i="20" s="1"/>
  <c r="N11" i="20"/>
  <c r="K13" i="33"/>
  <c r="J14" i="33" s="1"/>
  <c r="G14" i="33" s="1"/>
  <c r="AE13" i="20"/>
  <c r="U13" i="20"/>
  <c r="U66" i="20" s="1"/>
  <c r="O14" i="33"/>
  <c r="N15" i="33" s="1"/>
  <c r="H133" i="30"/>
  <c r="I132" i="30"/>
  <c r="O132" i="30"/>
  <c r="P131" i="30"/>
  <c r="B130" i="30"/>
  <c r="A131" i="30"/>
  <c r="O97" i="30"/>
  <c r="P96" i="30"/>
  <c r="H97" i="30"/>
  <c r="I96" i="30"/>
  <c r="A96" i="30"/>
  <c r="B95" i="30"/>
  <c r="O62" i="30"/>
  <c r="P61" i="30"/>
  <c r="H62" i="30"/>
  <c r="I61" i="30"/>
  <c r="B59" i="30"/>
  <c r="A60" i="30"/>
  <c r="O26" i="30"/>
  <c r="P25" i="30"/>
  <c r="H26" i="30"/>
  <c r="I25" i="30"/>
  <c r="A25" i="30"/>
  <c r="B24" i="30"/>
  <c r="R13" i="33" l="1"/>
  <c r="R14" i="33" s="1"/>
  <c r="R15" i="33" s="1"/>
  <c r="Q16" i="33" s="1"/>
  <c r="W13" i="33"/>
  <c r="X13" i="33"/>
  <c r="G13" i="33" s="1"/>
  <c r="F13" i="33" s="1"/>
  <c r="M13" i="20" s="1"/>
  <c r="AC13" i="20" s="1"/>
  <c r="X11" i="20"/>
  <c r="AC11" i="20"/>
  <c r="F12" i="33"/>
  <c r="M12" i="20" s="1"/>
  <c r="N12" i="20"/>
  <c r="W23" i="33"/>
  <c r="T23" i="33"/>
  <c r="S24" i="33" s="1"/>
  <c r="U23" i="33"/>
  <c r="X23" i="33" s="1"/>
  <c r="N13" i="20"/>
  <c r="K14" i="33"/>
  <c r="J15" i="33" s="1"/>
  <c r="G15" i="33" s="1"/>
  <c r="T14" i="20"/>
  <c r="T66" i="20" s="1"/>
  <c r="F22" i="22" s="1"/>
  <c r="AG14" i="20"/>
  <c r="V5" i="21"/>
  <c r="O15" i="33"/>
  <c r="N16" i="33" s="1"/>
  <c r="R16" i="33"/>
  <c r="Q17" i="33" s="1"/>
  <c r="I133" i="30"/>
  <c r="H134" i="30"/>
  <c r="O133" i="30"/>
  <c r="P132" i="30"/>
  <c r="A132" i="30"/>
  <c r="B131" i="30"/>
  <c r="O98" i="30"/>
  <c r="P97" i="30"/>
  <c r="H98" i="30"/>
  <c r="I97" i="30"/>
  <c r="A97" i="30"/>
  <c r="B96" i="30"/>
  <c r="O63" i="30"/>
  <c r="P62" i="30"/>
  <c r="H63" i="30"/>
  <c r="I62" i="30"/>
  <c r="A61" i="30"/>
  <c r="B60" i="30"/>
  <c r="O27" i="30"/>
  <c r="P26" i="30"/>
  <c r="I26" i="30"/>
  <c r="H27" i="30"/>
  <c r="A26" i="30"/>
  <c r="B25" i="30"/>
  <c r="W17" i="33" l="1"/>
  <c r="X17" i="33"/>
  <c r="W16" i="33"/>
  <c r="X16" i="33"/>
  <c r="W12" i="20"/>
  <c r="AC12" i="20"/>
  <c r="U24" i="33"/>
  <c r="X24" i="33" s="1"/>
  <c r="T24" i="33"/>
  <c r="S25" i="33" s="1"/>
  <c r="W24" i="33"/>
  <c r="Y13" i="20"/>
  <c r="Y66" i="20" s="1"/>
  <c r="W13" i="20"/>
  <c r="K15" i="33"/>
  <c r="J16" i="33" s="1"/>
  <c r="S68" i="20"/>
  <c r="U68" i="20" s="1"/>
  <c r="V4" i="21"/>
  <c r="F14" i="33"/>
  <c r="M14" i="20" s="1"/>
  <c r="AC14" i="20" s="1"/>
  <c r="N14" i="20"/>
  <c r="F25" i="22"/>
  <c r="F21" i="22"/>
  <c r="F23" i="22"/>
  <c r="F24" i="22"/>
  <c r="O16" i="33"/>
  <c r="N17" i="33" s="1"/>
  <c r="AJ15" i="20"/>
  <c r="AJ66" i="20" s="1"/>
  <c r="R17" i="33"/>
  <c r="I134" i="30"/>
  <c r="H135" i="30"/>
  <c r="P133" i="30"/>
  <c r="O134" i="30"/>
  <c r="B132" i="30"/>
  <c r="A133" i="30"/>
  <c r="O99" i="30"/>
  <c r="P98" i="30"/>
  <c r="H99" i="30"/>
  <c r="I98" i="30"/>
  <c r="A98" i="30"/>
  <c r="B97" i="30"/>
  <c r="P63" i="30"/>
  <c r="O64" i="30"/>
  <c r="H64" i="30"/>
  <c r="I63" i="30"/>
  <c r="A62" i="30"/>
  <c r="B61" i="30"/>
  <c r="O28" i="30"/>
  <c r="P27" i="30"/>
  <c r="H28" i="30"/>
  <c r="I27" i="30"/>
  <c r="A27" i="30"/>
  <c r="B26" i="30"/>
  <c r="G16" i="33" l="1"/>
  <c r="AE14" i="20"/>
  <c r="AF14" i="20"/>
  <c r="W25" i="33"/>
  <c r="U25" i="33"/>
  <c r="X25" i="33" s="1"/>
  <c r="T25" i="33"/>
  <c r="S26" i="33" s="1"/>
  <c r="AB14" i="20"/>
  <c r="X14" i="20"/>
  <c r="X66" i="20" s="1"/>
  <c r="K16" i="33"/>
  <c r="J17" i="33" s="1"/>
  <c r="G17" i="33" s="1"/>
  <c r="F15" i="33"/>
  <c r="M15" i="20" s="1"/>
  <c r="N15" i="20"/>
  <c r="O17" i="33"/>
  <c r="N18" i="33" s="1"/>
  <c r="R18" i="33"/>
  <c r="H136" i="30"/>
  <c r="I135" i="30"/>
  <c r="P134" i="30"/>
  <c r="O135" i="30"/>
  <c r="A134" i="30"/>
  <c r="B133" i="30"/>
  <c r="O100" i="30"/>
  <c r="P99" i="30"/>
  <c r="H100" i="30"/>
  <c r="I99" i="30"/>
  <c r="A99" i="30"/>
  <c r="B98" i="30"/>
  <c r="O65" i="30"/>
  <c r="P64" i="30"/>
  <c r="H65" i="30"/>
  <c r="I64" i="30"/>
  <c r="A63" i="30"/>
  <c r="B62" i="30"/>
  <c r="P28" i="30"/>
  <c r="O29" i="30"/>
  <c r="H29" i="30"/>
  <c r="I28" i="30"/>
  <c r="B27" i="30"/>
  <c r="A28" i="30"/>
  <c r="AG15" i="20" l="1"/>
  <c r="AE15" i="20"/>
  <c r="AF15" i="20"/>
  <c r="AH15" i="20"/>
  <c r="T26" i="33"/>
  <c r="S27" i="33" s="1"/>
  <c r="U26" i="33"/>
  <c r="X26" i="33" s="1"/>
  <c r="W26" i="33"/>
  <c r="AA15" i="20"/>
  <c r="W15" i="20"/>
  <c r="F16" i="33"/>
  <c r="M16" i="20" s="1"/>
  <c r="N16" i="20"/>
  <c r="K17" i="33"/>
  <c r="J18" i="33" s="1"/>
  <c r="G18" i="33" s="1"/>
  <c r="O18" i="33"/>
  <c r="N19" i="33" s="1"/>
  <c r="R19" i="33"/>
  <c r="H137" i="30"/>
  <c r="I136" i="30"/>
  <c r="O136" i="30"/>
  <c r="P135" i="30"/>
  <c r="A135" i="30"/>
  <c r="B134" i="30"/>
  <c r="P100" i="30"/>
  <c r="O101" i="30"/>
  <c r="I100" i="30"/>
  <c r="H101" i="30"/>
  <c r="A100" i="30"/>
  <c r="B99" i="30"/>
  <c r="O66" i="30"/>
  <c r="P65" i="30"/>
  <c r="H66" i="30"/>
  <c r="I65" i="30"/>
  <c r="A64" i="30"/>
  <c r="B63" i="30"/>
  <c r="O30" i="30"/>
  <c r="P29" i="30"/>
  <c r="H30" i="30"/>
  <c r="I29" i="30"/>
  <c r="B28" i="30"/>
  <c r="A29" i="30"/>
  <c r="AG16" i="20" l="1"/>
  <c r="AH16" i="20"/>
  <c r="W27" i="33"/>
  <c r="U27" i="33"/>
  <c r="X27" i="33" s="1"/>
  <c r="T27" i="33"/>
  <c r="S28" i="33" s="1"/>
  <c r="AA16" i="20"/>
  <c r="W16" i="20"/>
  <c r="W66" i="20" s="1"/>
  <c r="K18" i="33"/>
  <c r="J19" i="33" s="1"/>
  <c r="G19" i="33" s="1"/>
  <c r="F17" i="33"/>
  <c r="M17" i="20" s="1"/>
  <c r="AH17" i="20" s="1"/>
  <c r="N17" i="20"/>
  <c r="O19" i="33"/>
  <c r="N20" i="33" s="1"/>
  <c r="R20" i="33"/>
  <c r="H138" i="30"/>
  <c r="I138" i="30" s="1"/>
  <c r="I137" i="30"/>
  <c r="O137" i="30"/>
  <c r="P136" i="30"/>
  <c r="A136" i="30"/>
  <c r="B135" i="30"/>
  <c r="O102" i="30"/>
  <c r="P101" i="30"/>
  <c r="H102" i="30"/>
  <c r="I101" i="30"/>
  <c r="B100" i="30"/>
  <c r="A101" i="30"/>
  <c r="O67" i="30"/>
  <c r="P66" i="30"/>
  <c r="H67" i="30"/>
  <c r="I66" i="30"/>
  <c r="A65" i="30"/>
  <c r="B64" i="30"/>
  <c r="P30" i="30"/>
  <c r="O31" i="30"/>
  <c r="H31" i="30"/>
  <c r="I30" i="30"/>
  <c r="A30" i="30"/>
  <c r="B29" i="30"/>
  <c r="W28" i="33" l="1"/>
  <c r="T28" i="33"/>
  <c r="S29" i="33" s="1"/>
  <c r="U28" i="33"/>
  <c r="X28" i="33" s="1"/>
  <c r="V6" i="21"/>
  <c r="W68" i="20"/>
  <c r="AD17" i="20"/>
  <c r="Z17" i="20"/>
  <c r="Z66" i="20" s="1"/>
  <c r="V7" i="21" s="1"/>
  <c r="F18" i="33"/>
  <c r="M18" i="20" s="1"/>
  <c r="AH18" i="20" s="1"/>
  <c r="N18" i="20"/>
  <c r="K19" i="33"/>
  <c r="J20" i="33" s="1"/>
  <c r="G20" i="33" s="1"/>
  <c r="O20" i="33"/>
  <c r="N21" i="33" s="1"/>
  <c r="R21" i="33"/>
  <c r="O138" i="30"/>
  <c r="P137" i="30"/>
  <c r="B136" i="30"/>
  <c r="A137" i="30"/>
  <c r="O103" i="30"/>
  <c r="P102" i="30"/>
  <c r="I102" i="30"/>
  <c r="H103" i="30"/>
  <c r="A102" i="30"/>
  <c r="B101" i="30"/>
  <c r="P67" i="30"/>
  <c r="O68" i="30"/>
  <c r="P68" i="30" s="1"/>
  <c r="H68" i="30"/>
  <c r="I67" i="30"/>
  <c r="A66" i="30"/>
  <c r="B65" i="30"/>
  <c r="O32" i="30"/>
  <c r="P31" i="30"/>
  <c r="I31" i="30"/>
  <c r="B30" i="30"/>
  <c r="A31" i="30"/>
  <c r="W29" i="33" l="1"/>
  <c r="U29" i="33"/>
  <c r="X29" i="33" s="1"/>
  <c r="T29" i="33"/>
  <c r="S30" i="33" s="1"/>
  <c r="AD18" i="20"/>
  <c r="AB18" i="20"/>
  <c r="Y68" i="20"/>
  <c r="F19" i="33"/>
  <c r="M19" i="20" s="1"/>
  <c r="AL19" i="20" s="1"/>
  <c r="N19" i="20"/>
  <c r="K20" i="33"/>
  <c r="J21" i="33" s="1"/>
  <c r="G21" i="33" s="1"/>
  <c r="O21" i="33"/>
  <c r="N22" i="33" s="1"/>
  <c r="R22" i="33"/>
  <c r="I103" i="30"/>
  <c r="H104" i="30"/>
  <c r="I104" i="30" s="1"/>
  <c r="P138" i="30"/>
  <c r="O139" i="30"/>
  <c r="P139" i="30" s="1"/>
  <c r="A138" i="30"/>
  <c r="B137" i="30"/>
  <c r="P103" i="30"/>
  <c r="A103" i="30"/>
  <c r="B102" i="30"/>
  <c r="H69" i="30"/>
  <c r="I69" i="30" s="1"/>
  <c r="I68" i="30"/>
  <c r="A67" i="30"/>
  <c r="B66" i="30"/>
  <c r="P32" i="30"/>
  <c r="O33" i="30"/>
  <c r="I32" i="30"/>
  <c r="B31" i="30"/>
  <c r="A32" i="30"/>
  <c r="W30" i="33" l="1"/>
  <c r="T30" i="33"/>
  <c r="S31" i="33" s="1"/>
  <c r="U30" i="33"/>
  <c r="X30" i="33" s="1"/>
  <c r="AD19" i="20"/>
  <c r="AB19" i="20"/>
  <c r="F20" i="33"/>
  <c r="M20" i="20" s="1"/>
  <c r="N20" i="20"/>
  <c r="K21" i="33"/>
  <c r="J22" i="33" s="1"/>
  <c r="G22" i="33" s="1"/>
  <c r="O22" i="33"/>
  <c r="N23" i="33" s="1"/>
  <c r="R23" i="33"/>
  <c r="A139" i="30"/>
  <c r="B139" i="30" s="1"/>
  <c r="B138" i="30"/>
  <c r="A104" i="30"/>
  <c r="B104" i="30" s="1"/>
  <c r="B103" i="30"/>
  <c r="A68" i="30"/>
  <c r="B67" i="30"/>
  <c r="O34" i="30"/>
  <c r="P34" i="30" s="1"/>
  <c r="P33" i="30"/>
  <c r="A33" i="30"/>
  <c r="B32" i="30"/>
  <c r="W31" i="33" l="1"/>
  <c r="T31" i="33"/>
  <c r="S32" i="33" s="1"/>
  <c r="U31" i="33"/>
  <c r="X31" i="33" s="1"/>
  <c r="AC20" i="20"/>
  <c r="AA20" i="20"/>
  <c r="AA66" i="20" s="1"/>
  <c r="F21" i="33"/>
  <c r="M21" i="20" s="1"/>
  <c r="N21" i="20"/>
  <c r="K22" i="33"/>
  <c r="J23" i="33" s="1"/>
  <c r="G23" i="33" s="1"/>
  <c r="O23" i="33"/>
  <c r="N24" i="33" s="1"/>
  <c r="R24" i="33"/>
  <c r="B68" i="30"/>
  <c r="A34" i="30"/>
  <c r="B34" i="30" s="1"/>
  <c r="B33" i="30"/>
  <c r="W32" i="33" l="1"/>
  <c r="T32" i="33"/>
  <c r="S33" i="33" s="1"/>
  <c r="U32" i="33"/>
  <c r="X32" i="33" s="1"/>
  <c r="AF21" i="20"/>
  <c r="AB21" i="20"/>
  <c r="AB66" i="20" s="1"/>
  <c r="AA68" i="20" s="1"/>
  <c r="F22" i="33"/>
  <c r="M22" i="20" s="1"/>
  <c r="N22" i="20"/>
  <c r="K23" i="33"/>
  <c r="J24" i="33" s="1"/>
  <c r="G24" i="33" s="1"/>
  <c r="O24" i="33"/>
  <c r="N25" i="33" s="1"/>
  <c r="R25" i="33"/>
  <c r="D15" i="21"/>
  <c r="W33" i="33" l="1"/>
  <c r="U33" i="33"/>
  <c r="X33" i="33" s="1"/>
  <c r="T33" i="33"/>
  <c r="S34" i="33" s="1"/>
  <c r="AF22" i="20"/>
  <c r="AD22" i="20"/>
  <c r="G21" i="22"/>
  <c r="V8" i="21"/>
  <c r="G23" i="22"/>
  <c r="G24" i="22"/>
  <c r="G25" i="22"/>
  <c r="G22" i="22"/>
  <c r="F23" i="33"/>
  <c r="M23" i="20" s="1"/>
  <c r="N23" i="20"/>
  <c r="K24" i="33"/>
  <c r="J25" i="33" s="1"/>
  <c r="G25" i="33" s="1"/>
  <c r="O25" i="33"/>
  <c r="N26" i="33" s="1"/>
  <c r="R26" i="33"/>
  <c r="B15" i="21"/>
  <c r="E15" i="21" s="1"/>
  <c r="C15" i="21"/>
  <c r="W34" i="33" l="1"/>
  <c r="T34" i="33"/>
  <c r="S35" i="33" s="1"/>
  <c r="U34" i="33"/>
  <c r="X34" i="33" s="1"/>
  <c r="G34" i="33" s="1"/>
  <c r="AG23" i="20"/>
  <c r="AC23" i="20"/>
  <c r="K25" i="33"/>
  <c r="J26" i="33" s="1"/>
  <c r="G26" i="33" s="1"/>
  <c r="F24" i="33"/>
  <c r="M24" i="20" s="1"/>
  <c r="N24" i="20"/>
  <c r="O26" i="33"/>
  <c r="N27" i="33" s="1"/>
  <c r="R27" i="33"/>
  <c r="T35" i="33" l="1"/>
  <c r="S36" i="33" s="1"/>
  <c r="U35" i="33"/>
  <c r="X35" i="33" s="1"/>
  <c r="G35" i="33" s="1"/>
  <c r="W35" i="33"/>
  <c r="AH24" i="20"/>
  <c r="AH66" i="20" s="1"/>
  <c r="AD24" i="20"/>
  <c r="AD66" i="20" s="1"/>
  <c r="F25" i="33"/>
  <c r="M25" i="20" s="1"/>
  <c r="N25" i="20"/>
  <c r="K26" i="33"/>
  <c r="J27" i="33" s="1"/>
  <c r="G27" i="33" s="1"/>
  <c r="O27" i="33"/>
  <c r="N28" i="33" s="1"/>
  <c r="R28" i="33"/>
  <c r="W36" i="33" l="1"/>
  <c r="U36" i="33"/>
  <c r="X36" i="33" s="1"/>
  <c r="G36" i="33" s="1"/>
  <c r="T36" i="33"/>
  <c r="S37" i="33" s="1"/>
  <c r="AG25" i="20"/>
  <c r="AC25" i="20"/>
  <c r="AC66" i="20" s="1"/>
  <c r="K27" i="33"/>
  <c r="J28" i="33" s="1"/>
  <c r="G28" i="33" s="1"/>
  <c r="F26" i="33"/>
  <c r="M26" i="20" s="1"/>
  <c r="N26" i="20"/>
  <c r="O28" i="33"/>
  <c r="N29" i="33" s="1"/>
  <c r="R29" i="33"/>
  <c r="W37" i="33" l="1"/>
  <c r="U37" i="33"/>
  <c r="X37" i="33" s="1"/>
  <c r="G37" i="33" s="1"/>
  <c r="T37" i="33"/>
  <c r="S38" i="33" s="1"/>
  <c r="V9" i="21"/>
  <c r="AC68" i="20"/>
  <c r="AI26" i="20"/>
  <c r="AE26" i="20"/>
  <c r="AE66" i="20" s="1"/>
  <c r="F27" i="33"/>
  <c r="M27" i="20" s="1"/>
  <c r="N27" i="20"/>
  <c r="K28" i="33"/>
  <c r="J29" i="33" s="1"/>
  <c r="G29" i="33" s="1"/>
  <c r="O29" i="33"/>
  <c r="N30" i="33" s="1"/>
  <c r="R30" i="33"/>
  <c r="W38" i="33" l="1"/>
  <c r="T38" i="33"/>
  <c r="S39" i="33" s="1"/>
  <c r="U38" i="33"/>
  <c r="X38" i="33" s="1"/>
  <c r="G38" i="33" s="1"/>
  <c r="AL27" i="20"/>
  <c r="AL66" i="20" s="1"/>
  <c r="AF27" i="20"/>
  <c r="AF66" i="20" s="1"/>
  <c r="V10" i="21" s="1"/>
  <c r="K29" i="33"/>
  <c r="J30" i="33" s="1"/>
  <c r="G30" i="33" s="1"/>
  <c r="F28" i="33"/>
  <c r="M28" i="20" s="1"/>
  <c r="AG28" i="20" s="1"/>
  <c r="N28" i="20"/>
  <c r="O30" i="33"/>
  <c r="N31" i="33" s="1"/>
  <c r="R31" i="33"/>
  <c r="T39" i="33" l="1"/>
  <c r="S40" i="33" s="1"/>
  <c r="W39" i="33"/>
  <c r="U39" i="33"/>
  <c r="X39" i="33" s="1"/>
  <c r="G39" i="33" s="1"/>
  <c r="AE68" i="20"/>
  <c r="F30" i="33"/>
  <c r="M30" i="20" s="1"/>
  <c r="AG30" i="20" s="1"/>
  <c r="N30" i="20"/>
  <c r="F29" i="33"/>
  <c r="M29" i="20" s="1"/>
  <c r="AG29" i="20" s="1"/>
  <c r="N29" i="20"/>
  <c r="AK28" i="20"/>
  <c r="O31" i="33"/>
  <c r="N32" i="33" s="1"/>
  <c r="R32" i="33"/>
  <c r="W40" i="33" l="1"/>
  <c r="T40" i="33"/>
  <c r="S41" i="33" s="1"/>
  <c r="U40" i="33"/>
  <c r="X40" i="33" s="1"/>
  <c r="G40" i="33" s="1"/>
  <c r="AG66" i="20"/>
  <c r="H22" i="22" s="1"/>
  <c r="K30" i="33"/>
  <c r="J31" i="33" s="1"/>
  <c r="G31" i="33" s="1"/>
  <c r="O32" i="33"/>
  <c r="N33" i="33" s="1"/>
  <c r="R33" i="33"/>
  <c r="H23" i="22" l="1"/>
  <c r="V11" i="21"/>
  <c r="H25" i="22"/>
  <c r="AG68" i="20"/>
  <c r="H24" i="22"/>
  <c r="W41" i="33"/>
  <c r="T41" i="33"/>
  <c r="S42" i="33" s="1"/>
  <c r="U41" i="33"/>
  <c r="X41" i="33" s="1"/>
  <c r="G41" i="33" s="1"/>
  <c r="K31" i="33"/>
  <c r="J32" i="33" s="1"/>
  <c r="G32" i="33" s="1"/>
  <c r="K34" i="33"/>
  <c r="O33" i="33"/>
  <c r="R34" i="33"/>
  <c r="W42" i="33" l="1"/>
  <c r="U42" i="33"/>
  <c r="X42" i="33" s="1"/>
  <c r="G42" i="33" s="1"/>
  <c r="T42" i="33"/>
  <c r="S43" i="33" s="1"/>
  <c r="N31" i="20"/>
  <c r="F31" i="33"/>
  <c r="M31" i="20" s="1"/>
  <c r="AI31" i="20" s="1"/>
  <c r="AI66" i="20" s="1"/>
  <c r="K32" i="33"/>
  <c r="J33" i="33" s="1"/>
  <c r="G33" i="33" s="1"/>
  <c r="K35" i="33"/>
  <c r="O34" i="33"/>
  <c r="R35" i="33"/>
  <c r="W43" i="33" l="1"/>
  <c r="T43" i="33"/>
  <c r="S44" i="33" s="1"/>
  <c r="U43" i="33"/>
  <c r="X43" i="33" s="1"/>
  <c r="G43" i="33" s="1"/>
  <c r="V12" i="21"/>
  <c r="AI68" i="20"/>
  <c r="F32" i="33"/>
  <c r="M32" i="20" s="1"/>
  <c r="AK32" i="20" s="1"/>
  <c r="N32" i="20"/>
  <c r="K33" i="33"/>
  <c r="F34" i="33" s="1"/>
  <c r="F35" i="33"/>
  <c r="K36" i="33"/>
  <c r="O35" i="33"/>
  <c r="R36" i="33"/>
  <c r="W44" i="33" l="1"/>
  <c r="U44" i="33"/>
  <c r="X44" i="33" s="1"/>
  <c r="G44" i="33" s="1"/>
  <c r="T44" i="33"/>
  <c r="S45" i="33" s="1"/>
  <c r="F33" i="33"/>
  <c r="M33" i="20" s="1"/>
  <c r="N33" i="20"/>
  <c r="F36" i="33"/>
  <c r="K37" i="33"/>
  <c r="O36" i="33"/>
  <c r="R37" i="33"/>
  <c r="W45" i="33" l="1"/>
  <c r="U45" i="33"/>
  <c r="X45" i="33" s="1"/>
  <c r="G45" i="33" s="1"/>
  <c r="T45" i="33"/>
  <c r="S46" i="33" s="1"/>
  <c r="AK33" i="20"/>
  <c r="AK66" i="20" s="1"/>
  <c r="F37" i="33"/>
  <c r="K38" i="33"/>
  <c r="O37" i="33"/>
  <c r="R38" i="33"/>
  <c r="W46" i="33" l="1"/>
  <c r="T46" i="33"/>
  <c r="S47" i="33" s="1"/>
  <c r="U46" i="33"/>
  <c r="X46" i="33" s="1"/>
  <c r="G46" i="33" s="1"/>
  <c r="I24" i="22"/>
  <c r="I23" i="22"/>
  <c r="AK68" i="20"/>
  <c r="AM68" i="20" s="1"/>
  <c r="I25" i="22"/>
  <c r="I21" i="22"/>
  <c r="I22" i="22"/>
  <c r="V13" i="21"/>
  <c r="F38" i="33"/>
  <c r="K39" i="33"/>
  <c r="O38" i="33"/>
  <c r="R39" i="33"/>
  <c r="W47" i="33" l="1"/>
  <c r="T47" i="33"/>
  <c r="S48" i="33" s="1"/>
  <c r="U47" i="33"/>
  <c r="X47" i="33" s="1"/>
  <c r="G47" i="33" s="1"/>
  <c r="F39" i="33"/>
  <c r="K40" i="33"/>
  <c r="O39" i="33"/>
  <c r="R40" i="33"/>
  <c r="W48" i="33" l="1"/>
  <c r="U48" i="33"/>
  <c r="X48" i="33" s="1"/>
  <c r="G48" i="33" s="1"/>
  <c r="T48" i="33"/>
  <c r="S49" i="33" s="1"/>
  <c r="F40" i="33"/>
  <c r="K41" i="33"/>
  <c r="O40" i="33"/>
  <c r="R41" i="33"/>
  <c r="W49" i="33" l="1"/>
  <c r="T49" i="33"/>
  <c r="S50" i="33" s="1"/>
  <c r="U49" i="33"/>
  <c r="X49" i="33" s="1"/>
  <c r="G49" i="33" s="1"/>
  <c r="F41" i="33"/>
  <c r="K42" i="33"/>
  <c r="O41" i="33"/>
  <c r="R42" i="33"/>
  <c r="T50" i="33" l="1"/>
  <c r="S51" i="33" s="1"/>
  <c r="U50" i="33"/>
  <c r="X50" i="33" s="1"/>
  <c r="G50" i="33" s="1"/>
  <c r="W50" i="33"/>
  <c r="F42" i="33"/>
  <c r="K43" i="33"/>
  <c r="O42" i="33"/>
  <c r="R43" i="33"/>
  <c r="W51" i="33" l="1"/>
  <c r="U51" i="33"/>
  <c r="X51" i="33" s="1"/>
  <c r="G51" i="33" s="1"/>
  <c r="T51" i="33"/>
  <c r="S52" i="33" s="1"/>
  <c r="F43" i="33"/>
  <c r="K44" i="33"/>
  <c r="O43" i="33"/>
  <c r="R44" i="33"/>
  <c r="W52" i="33" l="1"/>
  <c r="U52" i="33"/>
  <c r="X52" i="33" s="1"/>
  <c r="G52" i="33" s="1"/>
  <c r="T52" i="33"/>
  <c r="S53" i="33" s="1"/>
  <c r="F44" i="33"/>
  <c r="K45" i="33"/>
  <c r="O44" i="33"/>
  <c r="R45" i="33"/>
  <c r="W53" i="33" l="1"/>
  <c r="T53" i="33"/>
  <c r="S54" i="33" s="1"/>
  <c r="U53" i="33"/>
  <c r="X53" i="33" s="1"/>
  <c r="G53" i="33" s="1"/>
  <c r="N53" i="20" s="1"/>
  <c r="N66" i="20" s="1"/>
  <c r="F45" i="33"/>
  <c r="K46" i="33"/>
  <c r="O45" i="33"/>
  <c r="R46" i="33"/>
  <c r="U54" i="33" l="1"/>
  <c r="X54" i="33" s="1"/>
  <c r="G54" i="33" s="1"/>
  <c r="W54" i="33"/>
  <c r="T54" i="33"/>
  <c r="S55" i="33" s="1"/>
  <c r="F46" i="33"/>
  <c r="K47" i="33"/>
  <c r="O46" i="33"/>
  <c r="R47" i="33"/>
  <c r="W55" i="33" l="1"/>
  <c r="T55" i="33"/>
  <c r="S56" i="33" s="1"/>
  <c r="U55" i="33"/>
  <c r="X55" i="33" s="1"/>
  <c r="G55" i="33" s="1"/>
  <c r="F47" i="33"/>
  <c r="K48" i="33"/>
  <c r="O47" i="33"/>
  <c r="R48" i="33"/>
  <c r="T56" i="33" l="1"/>
  <c r="S57" i="33" s="1"/>
  <c r="U56" i="33"/>
  <c r="X56" i="33" s="1"/>
  <c r="G56" i="33" s="1"/>
  <c r="W56" i="33"/>
  <c r="F48" i="33"/>
  <c r="K49" i="33"/>
  <c r="O48" i="33"/>
  <c r="R49" i="33"/>
  <c r="T57" i="33" l="1"/>
  <c r="S58" i="33" s="1"/>
  <c r="U57" i="33"/>
  <c r="X57" i="33" s="1"/>
  <c r="G57" i="33" s="1"/>
  <c r="W57" i="33"/>
  <c r="F49" i="33"/>
  <c r="K50" i="33"/>
  <c r="O49" i="33"/>
  <c r="K53" i="33"/>
  <c r="R50" i="33"/>
  <c r="W58" i="33" l="1"/>
  <c r="T58" i="33"/>
  <c r="S59" i="33" s="1"/>
  <c r="U58" i="33"/>
  <c r="X58" i="33" s="1"/>
  <c r="G58" i="33" s="1"/>
  <c r="F50" i="33"/>
  <c r="K51" i="33"/>
  <c r="O50" i="33"/>
  <c r="K54" i="33"/>
  <c r="R51" i="33"/>
  <c r="W59" i="33" l="1"/>
  <c r="T59" i="33"/>
  <c r="S60" i="33" s="1"/>
  <c r="U59" i="33"/>
  <c r="X59" i="33" s="1"/>
  <c r="G59" i="33" s="1"/>
  <c r="F51" i="33"/>
  <c r="K52" i="33"/>
  <c r="O51" i="33"/>
  <c r="K55" i="33"/>
  <c r="R52" i="33"/>
  <c r="W60" i="33" l="1"/>
  <c r="T60" i="33"/>
  <c r="S61" i="33" s="1"/>
  <c r="U60" i="33"/>
  <c r="X60" i="33" s="1"/>
  <c r="G60" i="33" s="1"/>
  <c r="F52" i="33"/>
  <c r="K56" i="33"/>
  <c r="R53" i="33"/>
  <c r="T61" i="33" l="1"/>
  <c r="S62" i="33" s="1"/>
  <c r="U61" i="33"/>
  <c r="X61" i="33" s="1"/>
  <c r="G61" i="33" s="1"/>
  <c r="W61" i="33"/>
  <c r="O52" i="33"/>
  <c r="F53" i="33" s="1"/>
  <c r="M53" i="20" s="1"/>
  <c r="M66" i="20" s="1"/>
  <c r="K57" i="33"/>
  <c r="R54" i="33"/>
  <c r="I5" i="24" l="1"/>
  <c r="C4" i="26"/>
  <c r="D20" i="21"/>
  <c r="D4" i="22"/>
  <c r="W62" i="33"/>
  <c r="U62" i="33"/>
  <c r="X62" i="33" s="1"/>
  <c r="G62" i="33" s="1"/>
  <c r="T62" i="33"/>
  <c r="S63" i="33" s="1"/>
  <c r="K58" i="33"/>
  <c r="O53" i="33"/>
  <c r="F54" i="33" s="1"/>
  <c r="R55" i="33"/>
  <c r="D21" i="21" l="1"/>
  <c r="E9" i="24" s="1"/>
  <c r="I9" i="24" s="1"/>
  <c r="D22" i="21"/>
  <c r="D25" i="22"/>
  <c r="D23" i="22"/>
  <c r="D22" i="22"/>
  <c r="D24" i="22"/>
  <c r="D21" i="22"/>
  <c r="W63" i="33"/>
  <c r="T63" i="33"/>
  <c r="S64" i="33" s="1"/>
  <c r="U63" i="33"/>
  <c r="X63" i="33" s="1"/>
  <c r="G63" i="33" s="1"/>
  <c r="O54" i="33"/>
  <c r="F55" i="33" s="1"/>
  <c r="K59" i="33"/>
  <c r="R56" i="33"/>
  <c r="E10" i="24" l="1"/>
  <c r="I10" i="24" s="1"/>
  <c r="W64" i="33"/>
  <c r="U64" i="33"/>
  <c r="X64" i="33" s="1"/>
  <c r="G64" i="33" s="1"/>
  <c r="T64" i="33"/>
  <c r="O55" i="33"/>
  <c r="F56" i="33" s="1"/>
  <c r="K60" i="33"/>
  <c r="R57" i="33"/>
  <c r="K61" i="33" l="1"/>
  <c r="O56" i="33"/>
  <c r="F57" i="33" s="1"/>
  <c r="R58" i="33"/>
  <c r="K62" i="33" l="1"/>
  <c r="O57" i="33"/>
  <c r="R59" i="33"/>
  <c r="O58" i="33" l="1"/>
  <c r="F59" i="33" s="1"/>
  <c r="F58" i="33"/>
  <c r="K63" i="33"/>
  <c r="O59" i="33"/>
  <c r="F60" i="33" s="1"/>
  <c r="R60" i="33"/>
  <c r="K64" i="33" l="1"/>
  <c r="O60" i="33"/>
  <c r="F61" i="33" s="1"/>
  <c r="R61" i="33"/>
  <c r="O61" i="33" l="1"/>
  <c r="F62" i="33" s="1"/>
  <c r="A6" i="33"/>
  <c r="H16" i="26" s="1"/>
  <c r="R62" i="33"/>
  <c r="O62" i="33" l="1"/>
  <c r="F63" i="33" s="1"/>
  <c r="B27" i="33"/>
  <c r="B28" i="33" s="1"/>
  <c r="C70" i="33" s="1"/>
  <c r="D70" i="33" s="1"/>
  <c r="R63" i="33"/>
  <c r="A15" i="33" l="1"/>
  <c r="K16" i="26" s="1"/>
  <c r="R64" i="33" l="1"/>
  <c r="B23" i="33"/>
  <c r="B24" i="33" s="1"/>
  <c r="C71" i="33" s="1"/>
  <c r="D71" i="33" s="1"/>
  <c r="O63" i="33"/>
  <c r="O64" i="33" l="1"/>
  <c r="F64" i="33"/>
  <c r="A10" i="33"/>
  <c r="E16" i="26" s="1"/>
  <c r="B19" i="33" l="1"/>
  <c r="B20" i="33" s="1"/>
  <c r="C69" i="33" s="1"/>
  <c r="D69" i="3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tc={8003C72B-C3D6-4F0A-9F0A-93991F617613}</author>
  </authors>
  <commentList>
    <comment ref="B3" authorId="0" shapeId="0" xr:uid="{8003C72B-C3D6-4F0A-9F0A-93991F617613}">
      <text>
        <t>[Threaded comment]
Your version of Excel allows you to read this threaded comment; however, any edits to it will get removed if the file is opened in a newer version of Excel. Learn more: https://go.microsoft.com/fwlink/?linkid=870924
Comment:
    Insert a 1 for the side you are representing or leave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teamfrey</author>
  </authors>
  <commentList>
    <comment ref="I7" authorId="0" shapeId="0" xr:uid="{00000000-0006-0000-1000-000001000000}">
      <text>
        <r>
          <rPr>
            <b/>
            <sz val="10"/>
            <color rgb="FF000000"/>
            <rFont val="Tahoma"/>
            <family val="2"/>
          </rPr>
          <t>Days to Work:</t>
        </r>
        <r>
          <rPr>
            <b/>
            <sz val="8"/>
            <color rgb="FF000000"/>
            <rFont val="Tahoma"/>
            <family val="2"/>
          </rPr>
          <t xml:space="preserve"> 
</t>
        </r>
        <r>
          <rPr>
            <sz val="10"/>
            <color rgb="FF000000"/>
            <rFont val="Tahoma"/>
            <family val="2"/>
          </rPr>
          <t xml:space="preserve">Enter the number of days left in the year you wish to work. 
</t>
        </r>
        <r>
          <rPr>
            <i/>
            <sz val="10"/>
            <color rgb="FF000000"/>
            <rFont val="Tahoma"/>
            <family val="2"/>
          </rPr>
          <t xml:space="preserve">
</t>
        </r>
        <r>
          <rPr>
            <i/>
            <sz val="10"/>
            <color rgb="FF000000"/>
            <rFont val="Tahoma"/>
            <family val="2"/>
          </rPr>
          <t>Remember to subtract the weekends if you only wish to work Monday thru Friday.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cbarnes</author>
  </authors>
  <commentList>
    <comment ref="A4" authorId="0" shapeId="0" xr:uid="{00000000-0006-0000-0300-000001000000}">
      <text>
        <r>
          <rPr>
            <b/>
            <sz val="10"/>
            <color indexed="10"/>
            <rFont val="Tahoma"/>
            <family val="2"/>
          </rPr>
          <t>Clients are Auto-Filled from Transaction Sheet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cbarnes</author>
    <author>Andrew J. Perez</author>
  </authors>
  <commentList>
    <comment ref="A1" authorId="0" shapeId="0" xr:uid="{00000000-0006-0000-0000-000001000000}">
      <text>
        <r>
          <rPr>
            <sz val="9"/>
            <color indexed="39"/>
            <rFont val="Tahoma"/>
            <family val="2"/>
          </rPr>
          <t xml:space="preserve">Automatically set for the current year using the formula </t>
        </r>
        <r>
          <rPr>
            <b/>
            <sz val="9"/>
            <color indexed="81"/>
            <rFont val="Tahoma"/>
            <family val="2"/>
          </rPr>
          <t>=YEAR(TODAY()).</t>
        </r>
        <r>
          <rPr>
            <sz val="9"/>
            <color indexed="39"/>
            <rFont val="Tahoma"/>
            <family val="2"/>
          </rPr>
          <t xml:space="preserve"> This can be overridden by manually entering the year.`</t>
        </r>
      </text>
    </comment>
    <comment ref="J4" authorId="0" shapeId="0" xr:uid="{00000000-0006-0000-0000-000004000000}">
      <text>
        <r>
          <rPr>
            <sz val="9"/>
            <color indexed="39"/>
            <rFont val="Tahoma"/>
            <family val="2"/>
          </rPr>
          <t xml:space="preserve">User Defined Value for </t>
        </r>
        <r>
          <rPr>
            <b/>
            <sz val="9"/>
            <color indexed="39"/>
            <rFont val="Tahoma"/>
            <family val="2"/>
          </rPr>
          <t>Agent Maximum Split %</t>
        </r>
      </text>
    </comment>
    <comment ref="I5" authorId="1" shapeId="0" xr:uid="{00000000-0006-0000-0000-000005000000}">
      <text>
        <r>
          <rPr>
            <sz val="9"/>
            <color indexed="39"/>
            <rFont val="Tahoma"/>
            <family val="2"/>
          </rPr>
          <t xml:space="preserve">User Defined Value for </t>
        </r>
        <r>
          <rPr>
            <b/>
            <sz val="9"/>
            <color indexed="39"/>
            <rFont val="Tahoma"/>
            <family val="2"/>
          </rPr>
          <t>Brokerage Share %</t>
        </r>
      </text>
    </comment>
    <comment ref="F13" authorId="0" shapeId="0" xr:uid="{00000000-0006-0000-0000-000006000000}">
      <text>
        <r>
          <rPr>
            <sz val="9"/>
            <color indexed="39"/>
            <rFont val="Tahoma"/>
            <family val="2"/>
          </rPr>
          <t>User Defined Value</t>
        </r>
      </text>
    </comment>
    <comment ref="F16" authorId="0" shapeId="0" xr:uid="{00000000-0006-0000-0000-000007000000}">
      <text>
        <r>
          <rPr>
            <sz val="9"/>
            <color indexed="39"/>
            <rFont val="Tahoma"/>
            <family val="2"/>
          </rPr>
          <t>User Defined Value</t>
        </r>
      </text>
    </comment>
    <comment ref="C21" authorId="0" shapeId="0" xr:uid="{00000000-0006-0000-0000-000008000000}">
      <text>
        <r>
          <rPr>
            <sz val="9"/>
            <color indexed="39"/>
            <rFont val="Tahoma"/>
            <family val="2"/>
          </rPr>
          <t>User Defined Value</t>
        </r>
      </text>
    </comment>
    <comment ref="C22" authorId="0" shapeId="0" xr:uid="{00000000-0006-0000-0000-000009000000}">
      <text>
        <r>
          <rPr>
            <sz val="9"/>
            <color indexed="39"/>
            <rFont val="Tahoma"/>
            <family val="2"/>
          </rPr>
          <t>User Defined Value</t>
        </r>
      </text>
    </comment>
    <comment ref="C23" authorId="0" shapeId="0" xr:uid="{00000000-0006-0000-0000-00000A000000}">
      <text>
        <r>
          <rPr>
            <sz val="9"/>
            <color indexed="39"/>
            <rFont val="Tahoma"/>
            <family val="2"/>
          </rPr>
          <t>User Defined Value</t>
        </r>
      </text>
    </comment>
    <comment ref="C24" authorId="0" shapeId="0" xr:uid="{00000000-0006-0000-0000-00000B000000}">
      <text>
        <r>
          <rPr>
            <sz val="9"/>
            <color indexed="39"/>
            <rFont val="Tahoma"/>
            <family val="2"/>
          </rPr>
          <t>User Defined Value</t>
        </r>
      </text>
    </comment>
    <comment ref="C25" authorId="0" shapeId="0" xr:uid="{00000000-0006-0000-0000-00000C000000}">
      <text>
        <r>
          <rPr>
            <sz val="9"/>
            <color indexed="39"/>
            <rFont val="Tahoma"/>
            <family val="2"/>
          </rPr>
          <t>User Defined Value</t>
        </r>
      </text>
    </comment>
  </commentList>
</comments>
</file>

<file path=xl/sharedStrings.xml><?xml version="1.0" encoding="utf-8"?>
<sst xmlns="http://schemas.openxmlformats.org/spreadsheetml/2006/main" count="842" uniqueCount="602">
  <si>
    <t>T</t>
  </si>
  <si>
    <t>I</t>
  </si>
  <si>
    <t>P</t>
  </si>
  <si>
    <t>Per Day</t>
  </si>
  <si>
    <t>Date</t>
  </si>
  <si>
    <t>Total Days:</t>
  </si>
  <si>
    <t>Month:</t>
  </si>
  <si>
    <t>Ave. Hrs</t>
  </si>
  <si>
    <t>Ave. "N"</t>
  </si>
  <si>
    <t>Hrs/Day</t>
  </si>
  <si>
    <t>Ave. "P"</t>
  </si>
  <si>
    <t>Ave. "I"</t>
  </si>
  <si>
    <t>"P" Hrs %</t>
  </si>
  <si>
    <t>"I" Hrs %</t>
  </si>
  <si>
    <t>"N" Hrs %</t>
  </si>
  <si>
    <t>Total "P" Hrs</t>
  </si>
  <si>
    <t>Total "I" Hrs</t>
  </si>
  <si>
    <t>Total Hrs</t>
  </si>
  <si>
    <t>to</t>
  </si>
  <si>
    <t>Hourly Yield Ratio</t>
  </si>
  <si>
    <t>May</t>
  </si>
  <si>
    <t>COE</t>
  </si>
  <si>
    <t>Buy</t>
  </si>
  <si>
    <t>Sell</t>
  </si>
  <si>
    <t>Source</t>
  </si>
  <si>
    <t>LP</t>
  </si>
  <si>
    <t>SP</t>
  </si>
  <si>
    <t>Comm %</t>
  </si>
  <si>
    <t>Gross Commission</t>
  </si>
  <si>
    <t>Jul</t>
  </si>
  <si>
    <t>Aug</t>
  </si>
  <si>
    <t>Sep</t>
  </si>
  <si>
    <t>Oct</t>
  </si>
  <si>
    <t>Nov</t>
  </si>
  <si>
    <t>Dec</t>
  </si>
  <si>
    <t>Jan</t>
  </si>
  <si>
    <t>Feb</t>
  </si>
  <si>
    <t>Mar</t>
  </si>
  <si>
    <t>Apr</t>
  </si>
  <si>
    <t>Jun</t>
  </si>
  <si>
    <t>Seller Ratio</t>
  </si>
  <si>
    <t>Year:</t>
  </si>
  <si>
    <t>Month</t>
  </si>
  <si>
    <t>Total Days Worked:</t>
  </si>
  <si>
    <t>Actual</t>
  </si>
  <si>
    <t>Projected</t>
  </si>
  <si>
    <t>Total Gross Sales</t>
  </si>
  <si>
    <t>Total Gross Commissions</t>
  </si>
  <si>
    <t>Total Closed Transactions:</t>
  </si>
  <si>
    <t>Average Sales COE per month</t>
  </si>
  <si>
    <t>Average Sales Price</t>
  </si>
  <si>
    <t>Number Transactions / month</t>
  </si>
  <si>
    <t>Average Commissions / month</t>
  </si>
  <si>
    <t>Expenses</t>
  </si>
  <si>
    <t>YTD</t>
  </si>
  <si>
    <t>Taxes</t>
  </si>
  <si>
    <t>IRA</t>
  </si>
  <si>
    <t>Operating Expenses</t>
  </si>
  <si>
    <t>Marketing Expenses</t>
  </si>
  <si>
    <t>Salary</t>
  </si>
  <si>
    <t>Net Commissions Made This Year</t>
  </si>
  <si>
    <t>Agent Max % Split</t>
  </si>
  <si>
    <t>Average Commission % / side</t>
  </si>
  <si>
    <t>Gross Comm Needed</t>
  </si>
  <si>
    <t>Gross Sales Needed</t>
  </si>
  <si>
    <t xml:space="preserve"> Annual Operation Sheet</t>
  </si>
  <si>
    <t>Prop Address</t>
  </si>
  <si>
    <t>Current Year Clients</t>
  </si>
  <si>
    <t>Brokerage Income</t>
  </si>
  <si>
    <t>Day</t>
  </si>
  <si>
    <t>Q1</t>
  </si>
  <si>
    <t>Q2</t>
  </si>
  <si>
    <t>Q3</t>
  </si>
  <si>
    <t>Q4</t>
  </si>
  <si>
    <t>Avg. Hrs</t>
  </si>
  <si>
    <t>Avg. "I"</t>
  </si>
  <si>
    <t>Avg. "P"</t>
  </si>
  <si>
    <t>Referral-to-
Past Client Ratio:</t>
  </si>
  <si>
    <t>Maximum:</t>
  </si>
  <si>
    <t>Share %:</t>
  </si>
  <si>
    <t># of Sides Needed</t>
  </si>
  <si>
    <t>Total:</t>
  </si>
  <si>
    <t>Days to work</t>
  </si>
  <si>
    <t>"P" Total Hours</t>
  </si>
  <si>
    <t>"P" hours per day</t>
  </si>
  <si>
    <t>"I" Total Hours</t>
  </si>
  <si>
    <t>"I" hours per day</t>
  </si>
  <si>
    <t>Instant Check Up</t>
  </si>
  <si>
    <t>Year End Goal</t>
  </si>
  <si>
    <t>"P" $ per hour</t>
  </si>
  <si>
    <t>Days Left to Work</t>
  </si>
  <si>
    <t>"I" to "P" Ratio</t>
  </si>
  <si>
    <t>"P" Hours Per Day</t>
  </si>
  <si>
    <t>"I" Hours Per Day</t>
  </si>
  <si>
    <t>Where Do You Stand?</t>
  </si>
  <si>
    <t>Goal Setting Tool</t>
  </si>
  <si>
    <t>What Do You Need To Meet Your Goals?</t>
  </si>
  <si>
    <t>E</t>
  </si>
  <si>
    <t>Total "E" Hrs</t>
  </si>
  <si>
    <t>"E" Hrs %</t>
  </si>
  <si>
    <t>Avg. "E"</t>
  </si>
  <si>
    <t>Franchise Fee</t>
  </si>
  <si>
    <t>If yes, fill in the flat fee to be deducted from each transaction or % deducted from each transaction.</t>
  </si>
  <si>
    <t>Leave blank if no franchise fee.</t>
  </si>
  <si>
    <t>Franchise Fee as a %.</t>
  </si>
  <si>
    <t>Franchise Fee Cap</t>
  </si>
  <si>
    <t>If you contribute franchise fees from each transaction until you have reached a specific threshold, the answer is yes.  Enter your "franchise fee cap" here.</t>
  </si>
  <si>
    <t>Leave blank if no franchise fee and/or no franchise fee cap.</t>
  </si>
  <si>
    <t>Marketing Fee</t>
  </si>
  <si>
    <t>Leave blank if no per transaction marketing fee.</t>
  </si>
  <si>
    <t>Marketing Fee as a %.</t>
  </si>
  <si>
    <t>Is there a "marketing fee cap"?</t>
  </si>
  <si>
    <t>Marketing Fee Cap</t>
  </si>
  <si>
    <t>If you contribute marketing fees from each transaction until you have reached a specific threshold, the answer is yes.  Enter your "marketing fee cap" here.</t>
  </si>
  <si>
    <t>Leave blank if no marketing fee and/or no marketing fee cap.</t>
  </si>
  <si>
    <t>Do you have a progressive split structure?</t>
  </si>
  <si>
    <t xml:space="preserve">If your split is on a sliding scale, sometimes referred to as a progressive split, 
based on total earned income year to date, enter the upper end of each of the tiers below along with the corresponding split as a %.  </t>
  </si>
  <si>
    <t>Enter office cap or fair share here.</t>
  </si>
  <si>
    <t>Office Cap / Fair Share</t>
  </si>
  <si>
    <t>% of 
gross commission</t>
  </si>
  <si>
    <t>Fill-In Earned Income Tiers               .</t>
  </si>
  <si>
    <t>What is your starting split at the beginning of each year?</t>
  </si>
  <si>
    <t>Starting Split as a %</t>
  </si>
  <si>
    <t>Must contain a value greater than 0</t>
  </si>
  <si>
    <t>Leave blank if last tier.</t>
  </si>
  <si>
    <t>Must enter a value.</t>
  </si>
  <si>
    <t>What is your split after office cap/fair share has been met?</t>
  </si>
  <si>
    <t>Secondary Split as a %</t>
  </si>
  <si>
    <t>Note: If you go to 100% commission once you meet your cap/fair share, enter 100% here.</t>
  </si>
  <si>
    <t>+</t>
  </si>
  <si>
    <t>% of Marketing Fees Paid</t>
  </si>
  <si>
    <t>Marketing Cap</t>
  </si>
  <si>
    <t>"Warm" Prospects</t>
  </si>
  <si>
    <t>Under Contract</t>
  </si>
  <si>
    <t>Closed Transactions</t>
  </si>
  <si>
    <t>Client Name</t>
  </si>
  <si>
    <t>P/P
Rating</t>
  </si>
  <si>
    <t>Estimated
Sales 
Price</t>
  </si>
  <si>
    <t>%</t>
  </si>
  <si>
    <t>Potential Gross
Commission Income</t>
  </si>
  <si>
    <t>Sales 
Price</t>
  </si>
  <si>
    <t>Total Potential Sides in Warm List</t>
  </si>
  <si>
    <t>Total Sides Closed</t>
  </si>
  <si>
    <t>POTENTIAL VOLUME
in Warm List</t>
  </si>
  <si>
    <t>Total Potential GCI in Warm List</t>
  </si>
  <si>
    <t>Total Potential GCI in Hot List</t>
  </si>
  <si>
    <t>VOLUME
Under Contract</t>
  </si>
  <si>
    <t>Total GCI 
Under Contract</t>
  </si>
  <si>
    <t>VOLUME</t>
  </si>
  <si>
    <t>Total GCI 
To Date</t>
  </si>
  <si>
    <t>Closing date</t>
  </si>
  <si>
    <t>Anyone in your database that is a "Yes!" to one of 
the questions below should be on your hot and warm list.</t>
  </si>
  <si>
    <t>Have they had an increase in family size this year?</t>
  </si>
  <si>
    <t>Do they have teenage children?</t>
  </si>
  <si>
    <t>Have their children left home recently?</t>
  </si>
  <si>
    <t>Are they living “below their means”?</t>
  </si>
  <si>
    <t>Have they lived in the same house 7 years or more?</t>
  </si>
  <si>
    <t>Has their company expanded in the past year?</t>
  </si>
  <si>
    <t>Has their company downsized in the past year?</t>
  </si>
  <si>
    <t>Have they received a substantial inheritance?</t>
  </si>
  <si>
    <t>Do they own a building lot?</t>
  </si>
  <si>
    <t>Are they getting married?</t>
  </si>
  <si>
    <t>Are they getting divorced?</t>
  </si>
  <si>
    <t>Are they getting divorced and married?</t>
  </si>
  <si>
    <t>Do they have a dream for “Wake-Up Money”?</t>
  </si>
  <si>
    <t>Do they have a dream to live anywhere?</t>
  </si>
  <si>
    <t>Do they commute more than an hour each way?</t>
  </si>
  <si>
    <t>1.  REQUIRED:  Enter personal commission goal.</t>
  </si>
  <si>
    <t>4. REQUIRED:  Enter Commission Structure</t>
  </si>
  <si>
    <t>Enter:</t>
  </si>
  <si>
    <t>&gt;&gt;</t>
  </si>
  <si>
    <t>Add a best guess selling price.</t>
  </si>
  <si>
    <t>They are taking action to move forward.</t>
  </si>
  <si>
    <t>Be careful not to get caught up in "Time frame".  Focus on whether they are taking action.</t>
  </si>
  <si>
    <t>Steps to help move them to Hot and Active or back to the Warm list.</t>
  </si>
  <si>
    <t>This is your list of POTENTIAL business in the next 12 months.</t>
  </si>
  <si>
    <t>One of your best referral sources.</t>
  </si>
  <si>
    <t>To help move WARM people to the HOT list, leverage questions! This will help you analyze their pain or pleasure rating, and help them uncover their needs.</t>
  </si>
  <si>
    <t>You will find:</t>
  </si>
  <si>
    <t>Your progress towards meeting any "office cap", marketing fees cap, and/or franchise fee caps.</t>
  </si>
  <si>
    <t>Your total volume to date.</t>
  </si>
  <si>
    <t>Your total sides to date.</t>
  </si>
  <si>
    <t>Your total number of transactions due to agent referrals closed to date.</t>
  </si>
  <si>
    <t>Your ratio of Buy sides to Listing sides.</t>
  </si>
  <si>
    <t>Instructions</t>
  </si>
  <si>
    <t>Yearly Goals and Fees</t>
  </si>
  <si>
    <t>January</t>
  </si>
  <si>
    <t>February</t>
  </si>
  <si>
    <t>March</t>
  </si>
  <si>
    <t>April</t>
  </si>
  <si>
    <t>June</t>
  </si>
  <si>
    <t>July</t>
  </si>
  <si>
    <t>August</t>
  </si>
  <si>
    <t>September</t>
  </si>
  <si>
    <t>October</t>
  </si>
  <si>
    <t>November</t>
  </si>
  <si>
    <t>December</t>
  </si>
  <si>
    <t>Monthly Totals</t>
  </si>
  <si>
    <t>Days worked</t>
  </si>
  <si>
    <t xml:space="preserve">To be hidden. </t>
  </si>
  <si>
    <t>Agent Net Income:</t>
  </si>
  <si>
    <t>Monthly Net Income</t>
  </si>
  <si>
    <t>Do they have children age 10 or younger? (give your kids a chance)</t>
  </si>
  <si>
    <t>Signed Listing Agreements</t>
  </si>
  <si>
    <t>Notes: Buy/Sell, signed agreements, status, updates</t>
  </si>
  <si>
    <t>"Hot" and Active Prospects</t>
  </si>
  <si>
    <t>"Hot" and Confused Prospects</t>
  </si>
  <si>
    <t>Gross Commission Income</t>
  </si>
  <si>
    <t>Contact 
Date (mm/dd)</t>
  </si>
  <si>
    <t xml:space="preserve">Still need to test daily fill for the year </t>
  </si>
  <si>
    <t>Franchise fee Percentage taken</t>
  </si>
  <si>
    <t>Franchise flat fee</t>
  </si>
  <si>
    <t>Marketing Flat Fee</t>
  </si>
  <si>
    <t>Markering Percentage Taken</t>
  </si>
  <si>
    <t>Office CAP</t>
  </si>
  <si>
    <t>Split that agent keeps</t>
  </si>
  <si>
    <t>Second split that agent keeps once Cap is met</t>
  </si>
  <si>
    <t>Commision</t>
  </si>
  <si>
    <t>Referral taken out first</t>
  </si>
  <si>
    <t>Row 2</t>
  </si>
  <si>
    <t>Enter Referral Fee in $</t>
  </si>
  <si>
    <t>Comm Times Percent</t>
  </si>
  <si>
    <t>Row 3</t>
  </si>
  <si>
    <t>Franchise Fee Transaction Calculation</t>
  </si>
  <si>
    <t>Franchise Fee Running total</t>
  </si>
  <si>
    <t>Row 4</t>
  </si>
  <si>
    <t>Row 5</t>
  </si>
  <si>
    <t>Row 6</t>
  </si>
  <si>
    <t>Row 7</t>
  </si>
  <si>
    <t>Row 8</t>
  </si>
  <si>
    <t>Data From Goals &amp; Fees</t>
  </si>
  <si>
    <t>Option 1</t>
  </si>
  <si>
    <t>Referral fee reduced commission used for calculations</t>
  </si>
  <si>
    <t>Marketing Calculation</t>
  </si>
  <si>
    <t>Marketing fee running total</t>
  </si>
  <si>
    <t>Office Running Total</t>
  </si>
  <si>
    <t>Closed Transactions Sheet</t>
  </si>
  <si>
    <t>Agent Net Income</t>
  </si>
  <si>
    <t>Row 9</t>
  </si>
  <si>
    <t>Row 10</t>
  </si>
  <si>
    <t>Row 11</t>
  </si>
  <si>
    <t>Row 12</t>
  </si>
  <si>
    <t>Row 13</t>
  </si>
  <si>
    <t>Row 14</t>
  </si>
  <si>
    <t>Row 15</t>
  </si>
  <si>
    <t>Row 16</t>
  </si>
  <si>
    <t>Row 17</t>
  </si>
  <si>
    <t>Row 18</t>
  </si>
  <si>
    <t>Row 19</t>
  </si>
  <si>
    <t>Row 20</t>
  </si>
  <si>
    <t>Row 21</t>
  </si>
  <si>
    <t>Row 22</t>
  </si>
  <si>
    <t>Row 23</t>
  </si>
  <si>
    <t>Row 24</t>
  </si>
  <si>
    <t>Row 25</t>
  </si>
  <si>
    <t>Row 26</t>
  </si>
  <si>
    <t>Row 27</t>
  </si>
  <si>
    <t>Row 28</t>
  </si>
  <si>
    <t>Row 29</t>
  </si>
  <si>
    <t>Row 30</t>
  </si>
  <si>
    <t>Row 31</t>
  </si>
  <si>
    <t>Row 32</t>
  </si>
  <si>
    <t>Row 33</t>
  </si>
  <si>
    <t>Row 34</t>
  </si>
  <si>
    <t>Row 35</t>
  </si>
  <si>
    <t>Row 36</t>
  </si>
  <si>
    <t>Row 37</t>
  </si>
  <si>
    <t>Row 38</t>
  </si>
  <si>
    <t>Row 39</t>
  </si>
  <si>
    <t>Row 40</t>
  </si>
  <si>
    <t>Row 41</t>
  </si>
  <si>
    <t>Row 42</t>
  </si>
  <si>
    <t>Row 43</t>
  </si>
  <si>
    <t>Row 44</t>
  </si>
  <si>
    <t>Row 45</t>
  </si>
  <si>
    <t>Row 46</t>
  </si>
  <si>
    <t>Row 47</t>
  </si>
  <si>
    <t>Row 48</t>
  </si>
  <si>
    <t>Row 49</t>
  </si>
  <si>
    <t>Row 50</t>
  </si>
  <si>
    <t>Row 51</t>
  </si>
  <si>
    <t>Row 52</t>
  </si>
  <si>
    <t>Row 53</t>
  </si>
  <si>
    <t>Row 54</t>
  </si>
  <si>
    <t>Row 55</t>
  </si>
  <si>
    <t>Row 56</t>
  </si>
  <si>
    <t>Row 57</t>
  </si>
  <si>
    <t>Row 58</t>
  </si>
  <si>
    <t>Row 59</t>
  </si>
  <si>
    <t>Row 60</t>
  </si>
  <si>
    <t>Row 61</t>
  </si>
  <si>
    <t>Row 62</t>
  </si>
  <si>
    <t>Row 63</t>
  </si>
  <si>
    <t>Running Monthly Income</t>
  </si>
  <si>
    <r>
      <t xml:space="preserve">"P" </t>
    </r>
    <r>
      <rPr>
        <sz val="12"/>
        <rFont val="Garamond"/>
        <family val="1"/>
      </rPr>
      <t>time/hour:</t>
    </r>
  </si>
  <si>
    <r>
      <t xml:space="preserve">"T" </t>
    </r>
    <r>
      <rPr>
        <sz val="12"/>
        <rFont val="Garamond"/>
        <family val="1"/>
      </rPr>
      <t>time/hour:</t>
    </r>
  </si>
  <si>
    <t>Gross Commission Goal</t>
  </si>
  <si>
    <t>Marketing Fee pd to date</t>
  </si>
  <si>
    <t>Office Fee pd to Date</t>
  </si>
  <si>
    <r>
      <t xml:space="preserve">Annual Gross Commission 
</t>
    </r>
    <r>
      <rPr>
        <b/>
        <sz val="14"/>
        <color rgb="FFFFFFFF"/>
        <rFont val="Garamond"/>
        <family val="1"/>
        <scheme val="minor"/>
      </rPr>
      <t>GOAL</t>
    </r>
  </si>
  <si>
    <r>
      <t xml:space="preserve">Do not leave blank.  </t>
    </r>
    <r>
      <rPr>
        <sz val="12"/>
        <color theme="1"/>
        <rFont val="Garamond"/>
        <family val="1"/>
        <scheme val="minor"/>
      </rPr>
      <t>Calculations depend on this number.</t>
    </r>
  </si>
  <si>
    <r>
      <t xml:space="preserve">Is there a </t>
    </r>
    <r>
      <rPr>
        <b/>
        <i/>
        <sz val="12"/>
        <color rgb="FF2B7C95"/>
        <rFont val="Garamond"/>
        <family val="1"/>
        <scheme val="minor"/>
      </rPr>
      <t>franchise fees cap</t>
    </r>
    <r>
      <rPr>
        <b/>
        <sz val="12"/>
        <color rgb="FF2B7C95"/>
        <rFont val="Garamond"/>
        <family val="1"/>
        <scheme val="minor"/>
      </rPr>
      <t>?</t>
    </r>
  </si>
  <si>
    <r>
      <t xml:space="preserve">Is your split dependent on an </t>
    </r>
    <r>
      <rPr>
        <b/>
        <i/>
        <sz val="12"/>
        <color theme="8" tint="-0.249977111117893"/>
        <rFont val="Garamond"/>
        <family val="1"/>
        <scheme val="minor"/>
      </rPr>
      <t>Office Cap</t>
    </r>
    <r>
      <rPr>
        <b/>
        <sz val="12"/>
        <color theme="8" tint="-0.249977111117893"/>
        <rFont val="Garamond"/>
        <family val="1"/>
        <scheme val="minor"/>
      </rPr>
      <t xml:space="preserve"> or </t>
    </r>
    <r>
      <rPr>
        <b/>
        <i/>
        <sz val="12"/>
        <color theme="8" tint="-0.249977111117893"/>
        <rFont val="Garamond"/>
        <family val="1"/>
        <scheme val="minor"/>
      </rPr>
      <t>Fair Share</t>
    </r>
    <r>
      <rPr>
        <b/>
        <sz val="12"/>
        <color theme="8" tint="-0.249977111117893"/>
        <rFont val="Garamond"/>
        <family val="1"/>
        <scheme val="minor"/>
      </rPr>
      <t xml:space="preserve">?   </t>
    </r>
  </si>
  <si>
    <r>
      <t xml:space="preserve">For example, if you have a fair share or </t>
    </r>
    <r>
      <rPr>
        <i/>
        <sz val="11"/>
        <color theme="1"/>
        <rFont val="Garamond"/>
        <family val="1"/>
        <scheme val="minor"/>
      </rPr>
      <t>office cap</t>
    </r>
    <r>
      <rPr>
        <sz val="11"/>
        <color theme="1"/>
        <rFont val="Garamond"/>
        <family val="1"/>
        <scheme val="minor"/>
      </rPr>
      <t xml:space="preserve"> of $40,000. You may start the year with a 50/50 split until you have paid the office $40,000. Once you have met your fair share/office cap, your split would change.</t>
    </r>
  </si>
  <si>
    <r>
      <t xml:space="preserve">For example, if you are on a 60/40 split, where you receive 60% and 40% goes to the office, enter </t>
    </r>
    <r>
      <rPr>
        <b/>
        <sz val="11"/>
        <color theme="1"/>
        <rFont val="Garamond"/>
        <family val="1"/>
        <scheme val="minor"/>
      </rPr>
      <t>60%.</t>
    </r>
    <r>
      <rPr>
        <sz val="11"/>
        <color theme="1"/>
        <rFont val="Garamond"/>
        <family val="1"/>
        <scheme val="minor"/>
      </rPr>
      <t xml:space="preserve">
</t>
    </r>
    <r>
      <rPr>
        <sz val="11"/>
        <color rgb="FF00B050"/>
        <rFont val="Garamond"/>
        <family val="1"/>
        <scheme val="minor"/>
      </rPr>
      <t xml:space="preserve">
</t>
    </r>
  </si>
  <si>
    <r>
      <t xml:space="preserve">For example, if you are on a 80/20 split, where you receive 80% and 20% goes to the office, enter </t>
    </r>
    <r>
      <rPr>
        <b/>
        <sz val="11"/>
        <color theme="1"/>
        <rFont val="Garamond"/>
        <family val="1"/>
        <scheme val="minor"/>
      </rPr>
      <t>80%.</t>
    </r>
    <r>
      <rPr>
        <sz val="11"/>
        <color theme="1"/>
        <rFont val="Garamond"/>
        <family val="1"/>
        <scheme val="minor"/>
      </rPr>
      <t xml:space="preserve">
</t>
    </r>
    <r>
      <rPr>
        <sz val="11"/>
        <color rgb="FF00B050"/>
        <rFont val="Garamond"/>
        <family val="1"/>
        <scheme val="minor"/>
      </rPr>
      <t xml:space="preserve">
</t>
    </r>
  </si>
  <si>
    <r>
      <t>Agent Net Income</t>
    </r>
    <r>
      <rPr>
        <b/>
        <sz val="9"/>
        <rFont val="Garamond"/>
        <family val="1"/>
        <scheme val="minor"/>
      </rPr>
      <t xml:space="preserve"> (Minus Franchise, Marketing, Office, Referral)</t>
    </r>
  </si>
  <si>
    <r>
      <t xml:space="preserve">Brokerage Income
</t>
    </r>
    <r>
      <rPr>
        <b/>
        <sz val="9"/>
        <rFont val="Garamond"/>
        <family val="1"/>
        <scheme val="minor"/>
      </rPr>
      <t>(Franchise, Marketing, Office)</t>
    </r>
  </si>
  <si>
    <r>
      <t xml:space="preserve">Total Sales Volume To Date
</t>
    </r>
    <r>
      <rPr>
        <sz val="11"/>
        <rFont val="Garamond"/>
        <family val="1"/>
        <scheme val="minor"/>
      </rPr>
      <t>(Based on Closed Transactions)</t>
    </r>
  </si>
  <si>
    <r>
      <t xml:space="preserve">Closed Transactions from Agent Referrals 
</t>
    </r>
    <r>
      <rPr>
        <sz val="11"/>
        <rFont val="Garamond"/>
        <family val="1"/>
        <scheme val="minor"/>
      </rPr>
      <t>(Based on Closed Transactions)</t>
    </r>
  </si>
  <si>
    <r>
      <t xml:space="preserve">Total Number of Sides
 Year To Date
</t>
    </r>
    <r>
      <rPr>
        <sz val="11"/>
        <rFont val="Garamond"/>
        <family val="1"/>
        <scheme val="minor"/>
      </rPr>
      <t>(Based on Closed Transactions)</t>
    </r>
  </si>
  <si>
    <r>
      <t xml:space="preserve">Number of Buying Sides to Listing Sides 
</t>
    </r>
    <r>
      <rPr>
        <sz val="11"/>
        <rFont val="Garamond"/>
        <family val="1"/>
        <scheme val="minor"/>
      </rPr>
      <t>(Based on Closed Transactions data)</t>
    </r>
  </si>
  <si>
    <t>B:S</t>
  </si>
  <si>
    <t>Charts data for YTD Summary</t>
  </si>
  <si>
    <t>Franchise paid to date</t>
  </si>
  <si>
    <t xml:space="preserve">left to go </t>
  </si>
  <si>
    <r>
      <t xml:space="preserve">1.   Enter </t>
    </r>
    <r>
      <rPr>
        <b/>
        <i/>
        <sz val="12"/>
        <color theme="8" tint="-0.249977111117893"/>
        <rFont val="Garamond"/>
        <family val="1"/>
        <scheme val="minor"/>
      </rPr>
      <t xml:space="preserve">Your </t>
    </r>
    <r>
      <rPr>
        <b/>
        <sz val="12"/>
        <color theme="8" tint="-0.249977111117893"/>
        <rFont val="Garamond"/>
        <family val="1"/>
        <scheme val="minor"/>
      </rPr>
      <t>Gross Commissions Income Goal</t>
    </r>
  </si>
  <si>
    <r>
      <t xml:space="preserve">3.   Do you pay a </t>
    </r>
    <r>
      <rPr>
        <b/>
        <i/>
        <sz val="12"/>
        <color theme="8" tint="-0.249977111117893"/>
        <rFont val="Garamond"/>
        <family val="1"/>
        <scheme val="minor"/>
      </rPr>
      <t xml:space="preserve">marketing fee </t>
    </r>
    <r>
      <rPr>
        <b/>
        <sz val="12"/>
        <color theme="8" tint="-0.249977111117893"/>
        <rFont val="Garamond"/>
        <family val="1"/>
        <scheme val="minor"/>
      </rPr>
      <t>on each transaction?</t>
    </r>
  </si>
  <si>
    <r>
      <t xml:space="preserve">2.   Do you pay a </t>
    </r>
    <r>
      <rPr>
        <b/>
        <i/>
        <sz val="12"/>
        <color theme="8" tint="-0.249977111117893"/>
        <rFont val="Garamond"/>
        <family val="1"/>
        <scheme val="minor"/>
      </rPr>
      <t xml:space="preserve">franchise fee </t>
    </r>
    <r>
      <rPr>
        <b/>
        <sz val="12"/>
        <color theme="8" tint="-0.249977111117893"/>
        <rFont val="Garamond"/>
        <family val="1"/>
        <scheme val="minor"/>
      </rPr>
      <t>on each transaction?</t>
    </r>
  </si>
  <si>
    <r>
      <t xml:space="preserve">Enter this as </t>
    </r>
    <r>
      <rPr>
        <b/>
        <i/>
        <sz val="12"/>
        <color theme="1"/>
        <rFont val="Garamond"/>
        <family val="1"/>
        <scheme val="minor"/>
      </rPr>
      <t>your</t>
    </r>
    <r>
      <rPr>
        <b/>
        <sz val="12"/>
        <color theme="1"/>
        <rFont val="Garamond"/>
        <family val="1"/>
        <scheme val="minor"/>
      </rPr>
      <t xml:space="preserve"> percentage.  </t>
    </r>
  </si>
  <si>
    <t>to 1</t>
  </si>
  <si>
    <r>
      <t xml:space="preserve">"P" </t>
    </r>
    <r>
      <rPr>
        <sz val="12"/>
        <color theme="1"/>
        <rFont val="Garamond"/>
        <family val="1"/>
        <scheme val="minor"/>
      </rPr>
      <t>time/hour:</t>
    </r>
  </si>
  <si>
    <r>
      <t xml:space="preserve">"T" </t>
    </r>
    <r>
      <rPr>
        <sz val="12"/>
        <color theme="1"/>
        <rFont val="Garamond"/>
        <family val="1"/>
        <scheme val="minor"/>
      </rPr>
      <t>time/hour:</t>
    </r>
  </si>
  <si>
    <t>Gross Income:</t>
  </si>
  <si>
    <t>Under Contract for Next Month</t>
  </si>
  <si>
    <t>For PIE Summary</t>
  </si>
  <si>
    <t>Closing Month-for PIE Summary</t>
  </si>
  <si>
    <t>Goal GCI</t>
  </si>
  <si>
    <t>Total Percentage:</t>
  </si>
  <si>
    <t>Goal Projections</t>
  </si>
  <si>
    <r>
      <t xml:space="preserve">Estimated Potential 
Gross Commission Income
</t>
    </r>
    <r>
      <rPr>
        <sz val="11"/>
        <rFont val="Garamond"/>
        <family val="1"/>
        <scheme val="minor"/>
      </rPr>
      <t>Business Tracker: (U/C + Hot List)</t>
    </r>
  </si>
  <si>
    <t>Goal:</t>
  </si>
  <si>
    <t>Remaining to reach Net Income Goal</t>
  </si>
  <si>
    <t>**This pulls information from the PIE YTD Overview.</t>
  </si>
  <si>
    <t>Fill in the tan cells to see where you are in relation to your goals.
All other cells will self-populate.</t>
  </si>
  <si>
    <r>
      <rPr>
        <b/>
        <sz val="10"/>
        <color theme="1"/>
        <rFont val="Georgia"/>
        <family val="1"/>
      </rPr>
      <t>Allows you to use #s from previous year to help write business plan for current year.</t>
    </r>
    <r>
      <rPr>
        <sz val="10"/>
        <color theme="1"/>
        <rFont val="Georgia"/>
        <family val="1"/>
      </rPr>
      <t xml:space="preserve">
Use this calculator to play with 'your numbers to see where you need to improve to meet your goals.
</t>
    </r>
  </si>
  <si>
    <t>For Projected Chart</t>
  </si>
  <si>
    <t>Qtrly Estimates based on YTD</t>
  </si>
  <si>
    <t>Combined Estimates Office, Marketing, Franchise
Take / Share</t>
  </si>
  <si>
    <t>Gross Income</t>
  </si>
  <si>
    <t>Notes:</t>
  </si>
  <si>
    <t>Est. Sales 
Price</t>
  </si>
  <si>
    <t>Potential GCI</t>
  </si>
  <si>
    <t>Estimated GCI</t>
  </si>
  <si>
    <t>4.   Commission Structure -</t>
  </si>
  <si>
    <t>Option 1 Office fee-Split that agent keeps</t>
  </si>
  <si>
    <t>Option 1 Office Amount</t>
  </si>
  <si>
    <t>Option 2 Office split</t>
  </si>
  <si>
    <t>Agent Comm</t>
  </si>
  <si>
    <t>Agent Running total</t>
  </si>
  <si>
    <t>Office Split Amount</t>
  </si>
  <si>
    <t xml:space="preserve">Result of 1/2 Option Commission </t>
  </si>
  <si>
    <t>Final Office Split Amount</t>
  </si>
  <si>
    <t>option 2 Agent split</t>
  </si>
  <si>
    <t>Income Tier</t>
  </si>
  <si>
    <t>**Blue outlined boxes 
indicate a value is needed.</t>
  </si>
  <si>
    <t xml:space="preserve"> Buy/
Sell</t>
  </si>
  <si>
    <t>Total Under Contract</t>
  </si>
  <si>
    <t>Total Signed Listing Agreements</t>
  </si>
  <si>
    <t>Performance</t>
  </si>
  <si>
    <t>Commission Performance</t>
  </si>
  <si>
    <t>Enter 100% unless split is applied</t>
  </si>
  <si>
    <t xml:space="preserve">Flat Fee </t>
  </si>
  <si>
    <t>Flat Fee</t>
  </si>
  <si>
    <t>What is causing them to think about buying or selling? (Change)</t>
  </si>
  <si>
    <t>Is the change causing them Pain or Pleasure? </t>
  </si>
  <si>
    <t xml:space="preserve">            Rate their pain or pleasure on a scale of 1-5. </t>
  </si>
  <si>
    <t>Is there a question I could ask to provide clarity to them or myself?</t>
  </si>
  <si>
    <t>What is my next step? </t>
  </si>
  <si>
    <r>
      <t xml:space="preserve">Each week, review your </t>
    </r>
    <r>
      <rPr>
        <u/>
        <sz val="18"/>
        <rFont val="Garamond"/>
        <family val="1"/>
        <scheme val="major"/>
      </rPr>
      <t>HOT and WARM LIST</t>
    </r>
    <r>
      <rPr>
        <sz val="18"/>
        <rFont val="Garamond"/>
        <family val="1"/>
        <scheme val="major"/>
      </rPr>
      <t xml:space="preserve"> and ask the following questions about each person…  </t>
    </r>
  </si>
  <si>
    <t xml:space="preserve"> A transaction has closed! Enter closing details in tan cells.</t>
  </si>
  <si>
    <t xml:space="preserve">Insert month name in Blue cell for a PIE evaluation. </t>
  </si>
  <si>
    <t>Enter T, I, P time spent for each day that you work. E is auto-calculated.</t>
  </si>
  <si>
    <t>POST CLOSING CALLS</t>
  </si>
  <si>
    <t>This sheet is protected, input details in the blue outlined cells.</t>
  </si>
  <si>
    <t>GCI YTD</t>
  </si>
  <si>
    <t>% of Franchise Fees Paid</t>
  </si>
  <si>
    <r>
      <rPr>
        <b/>
        <sz val="14"/>
        <rFont val="Garamond"/>
        <family val="1"/>
        <scheme val="minor"/>
      </rPr>
      <t xml:space="preserve">Agent Net Income To Date
Based on Closed Transactions
</t>
    </r>
    <r>
      <rPr>
        <sz val="11"/>
        <rFont val="Garamond"/>
        <family val="1"/>
        <scheme val="minor"/>
      </rPr>
      <t>(Commissions after referral fees, office split, franchise fees)</t>
    </r>
  </si>
  <si>
    <t>% of Office Fees Paid</t>
  </si>
  <si>
    <r>
      <rPr>
        <b/>
        <sz val="16"/>
        <color theme="8" tint="-0.249977111117893"/>
        <rFont val="Garamond"/>
        <family val="1"/>
        <scheme val="minor"/>
      </rPr>
      <t>Click on tan cells or Tab through to input in tan cells.  Estimates are specific to this sheet and are not related to goals on other sheets.</t>
    </r>
    <r>
      <rPr>
        <b/>
        <sz val="16"/>
        <color rgb="FFFF0000"/>
        <rFont val="Garamond"/>
        <family val="1"/>
        <scheme val="minor"/>
      </rPr>
      <t xml:space="preserve"> </t>
    </r>
  </si>
  <si>
    <t>What is an “action item” this week to help them increase pleasure and/or decrease pain? </t>
  </si>
  <si>
    <t xml:space="preserve">                (Remember that it may have nothing to do with real estate.) </t>
  </si>
  <si>
    <t>Estimated
GCI</t>
  </si>
  <si>
    <t>Only tan cell are to be typed in.</t>
  </si>
  <si>
    <t>Current Year clients and COE will autofill from your Closed Transactions, once you overwrite a cell, manual entry is required. 
Just insert date (tan cells) of the last contact with your client.</t>
  </si>
  <si>
    <t xml:space="preserve">Visual of this year's progress and overall totals. Add a note, your affirmation or your why in the tan cell. Only the tan cell can be typed in, the rest is a visual overview. </t>
  </si>
  <si>
    <t>Why are they on this list, what change or changes are they experiencing?  </t>
  </si>
  <si>
    <t xml:space="preserve"> Sheet: Goals and Fees</t>
  </si>
  <si>
    <t>Only the blue outline cells are to be typed in</t>
  </si>
  <si>
    <t>2.  IF APPLICABLE:  Enter Franchise Fees</t>
  </si>
  <si>
    <t>3.  IF APPLICABLE:  Enter Marketing Fees</t>
  </si>
  <si>
    <t>*If you have a simple split, which does not change, and is not dependent on earned income or an "office cap" use option 1 in the following way accordingly:</t>
  </si>
  <si>
    <t xml:space="preserve">Complete option 1 if you pay a "fair share" or "office cap". </t>
  </si>
  <si>
    <t>Complete option 2 if you have a progressive split based on levels of earned income.</t>
  </si>
  <si>
    <t>Sheet: Business Tracker</t>
  </si>
  <si>
    <t>The TRACKER sheet tracks potential transactions, under-contract transactions and closed transactions.</t>
  </si>
  <si>
    <t>Warm” Prospects</t>
  </si>
  <si>
    <t>Build your WARM list by applying “Real Estate Needs” practices.</t>
  </si>
  <si>
    <t>The Real Estate Needs sheet are LIFE CHANGES that can assist to build a warm list sheet from your database. Bring each person in your database to mind.</t>
  </si>
  <si>
    <t>If you can answer "Yes" to any one of the questions they belong on your WARM list if they are not already on your HOT List.</t>
  </si>
  <si>
    <t>Row Details:</t>
  </si>
  <si>
    <t>If known add a b for buyer or s for seller or if this will be a referral add a R in the first column.</t>
  </si>
  <si>
    <t>The contact date is the last time you had communication with them.</t>
  </si>
  <si>
    <t>Insert client name.</t>
  </si>
  <si>
    <t>The estimated commission calculations will again happen automatically.</t>
  </si>
  <si>
    <t>“Hot” and Active Prospects</t>
  </si>
  <si>
    <t>Assign a "Pain or Pleasure" Rating from 1 to 5 based on the LIFE CHANGES list.</t>
  </si>
  <si>
    <t>Ask each of the Life Change questions.</t>
  </si>
  <si>
    <t>They may have NOT talked about buying or selling yet, you will likely know they have real estate needs before they do!</t>
  </si>
  <si>
    <t>*See Taking Your Hot &amp; Warm list to Next Level sheet for weekly action plan.</t>
  </si>
  <si>
    <t>Add ANY clients you are currently working with who you have done the 10 Buyers process or 16 step Pre-listing process with.</t>
  </si>
  <si>
    <t>They have said “we want or need to buy or sell”.</t>
  </si>
  <si>
    <t>They have said “we want to buy or sell” but are stuck or confused and not moving forward.</t>
  </si>
  <si>
    <t>Or you know they need to buy or sell but lack clarity or they are stuck they are not moving forward. </t>
  </si>
  <si>
    <t>Go back to Sweet 16 or 10 step buyer process. </t>
  </si>
  <si>
    <t>Ask more questions around pain/pleasure and change. </t>
  </si>
  <si>
    <t>Under Contract &amp; Signed Listing Agreements</t>
  </si>
  <si>
    <t xml:space="preserve">Be sure to insert details in the correct location. </t>
  </si>
  <si>
    <t>Notes: can be status, type of transaction, referral, stages of contract, quick notes on latest happenings.</t>
  </si>
  <si>
    <t>Add the expected closing date.</t>
  </si>
  <si>
    <t>Add the final contracted selling price.</t>
  </si>
  <si>
    <t>Add the commission as a percentage of the selling price particular to the side you are documenting.</t>
  </si>
  <si>
    <t>The commission calculates automatically.</t>
  </si>
  <si>
    <t>Sheet: YTD Summary</t>
  </si>
  <si>
    <t xml:space="preserve">The YTD -Summary sheet will give you a snapshot at your year-to-date progress. This sheet is protected, and you cannot add details to it. </t>
  </si>
  <si>
    <t>Your progress towards meeting your Gross Commission Income goal.</t>
  </si>
  <si>
    <t>Your total agent net income to date.</t>
  </si>
  <si>
    <t>Sheet: PIE Tracker</t>
  </si>
  <si>
    <t>All of your months are in this location. This is where you complete your daily/weekly “T”, “I”, and “P” time. E is auto calculated, and the sheet will do the rest.</t>
  </si>
  <si>
    <t>Note: There are a lot of ""E"" Time activities that are necessary. Know that even the very best agents struggle to get to a 50% ""E"" Time ratio without the help of an assistant. Tracking PIE provides you with insight on how much time you are working and what your time is worth.</t>
  </si>
  <si>
    <t>The Monthly PIE time calculator provides you will a look at how you are spending your time and how it directly relates to your monthly income and next months possible income. When you want to review this area, type the month in the blue shaded cell to review.</t>
  </si>
  <si>
    <t>The goal of the Ninja Selling system and managing your time appropriately is so that you can increase your income per hour so you can live a better life.</t>
  </si>
  <si>
    <t>Sheet: PIE YTD-Overview</t>
  </si>
  <si>
    <t xml:space="preserve">This is a dashboard sheet. No input is needed, it will automatically fill from the other sheets. Reminders or notes can be typed in the tan rectangle otherwise this sheet is protected. </t>
  </si>
  <si>
    <t>Sheet: PIE Planner</t>
  </si>
  <si>
    <t xml:space="preserve">This is a great tool for projecting your income based on the number of days you still plan to work this year. This sheet is protected. Only tan cells need to be completed for projections to be calculated. </t>
  </si>
  <si>
    <t>Sheet: Post Closing Calls</t>
  </si>
  <si>
    <t>Sheet: Budget</t>
  </si>
  <si>
    <t xml:space="preserve">This budget stands alone from the rest of the workbook. This sheet is for estimating only. Insert details in tan cells. </t>
  </si>
  <si>
    <t>This budget stands alone from the rest of the workbook. This sheet is for estimating only. Insert details in tan cells.</t>
  </si>
  <si>
    <t>Goals and Fees</t>
  </si>
  <si>
    <t>Business Tracker</t>
  </si>
  <si>
    <t>YTD Summary</t>
  </si>
  <si>
    <t>PIE Tracker</t>
  </si>
  <si>
    <t>PIE YTD-Overview</t>
  </si>
  <si>
    <t>PIE Planner</t>
  </si>
  <si>
    <t>Post Closing Calls</t>
  </si>
  <si>
    <t>Budget</t>
  </si>
  <si>
    <t>Sheet: Closed Transactions</t>
  </si>
  <si>
    <t>Here you will fill out your actual paid income for each transaction, be sure to fill in the closing date so that income is recorded in the appropriate month.</t>
  </si>
  <si>
    <t>Only tan cells are to be detailed. Blue-shaded cells are auto-calculated and protected.</t>
  </si>
  <si>
    <t>Details entered here will auto-populate back to the Closed Transactions on the Business Tracker sheet.</t>
  </si>
  <si>
    <t>POTENTIAL VOLUME
in Hot List</t>
  </si>
  <si>
    <t>Referral
Past Client</t>
  </si>
  <si>
    <r>
      <t xml:space="preserve">Closed Transactions area automatically populates from the </t>
    </r>
    <r>
      <rPr>
        <b/>
        <sz val="12"/>
        <rFont val="Garamond"/>
        <family val="1"/>
        <scheme val="minor"/>
      </rPr>
      <t>Closed Transactions sheet</t>
    </r>
    <r>
      <rPr>
        <sz val="12"/>
        <rFont val="Garamond"/>
        <family val="1"/>
        <scheme val="minor"/>
      </rPr>
      <t>. This area is sheet protected and you do not need to enter details here.</t>
    </r>
  </si>
  <si>
    <r>
      <t xml:space="preserve">Add your </t>
    </r>
    <r>
      <rPr>
        <i/>
        <sz val="12"/>
        <rFont val="Garamond"/>
        <family val="1"/>
        <scheme val="minor"/>
      </rPr>
      <t xml:space="preserve">average </t>
    </r>
    <r>
      <rPr>
        <sz val="12"/>
        <rFont val="Garamond"/>
        <family val="1"/>
        <scheme val="minor"/>
      </rPr>
      <t>commission as a percentage.</t>
    </r>
  </si>
  <si>
    <r>
      <t xml:space="preserve">Deciding whether they belong in HOT </t>
    </r>
    <r>
      <rPr>
        <i/>
        <sz val="12"/>
        <rFont val="Garamond"/>
        <family val="1"/>
        <scheme val="minor"/>
      </rPr>
      <t>and Active</t>
    </r>
    <r>
      <rPr>
        <sz val="12"/>
        <rFont val="Garamond"/>
        <family val="1"/>
        <scheme val="minor"/>
      </rPr>
      <t xml:space="preserve">, or HOT </t>
    </r>
    <r>
      <rPr>
        <i/>
        <sz val="12"/>
        <rFont val="Garamond"/>
        <family val="1"/>
        <scheme val="minor"/>
      </rPr>
      <t>but Confused</t>
    </r>
  </si>
  <si>
    <r>
      <t>When we help these clients find clarity, they will move to hot and active and move forward quickly. (</t>
    </r>
    <r>
      <rPr>
        <i/>
        <sz val="12"/>
        <rFont val="Garamond"/>
        <family val="1"/>
        <scheme val="minor"/>
      </rPr>
      <t>People with clarity can make decisions!</t>
    </r>
    <r>
      <rPr>
        <sz val="12"/>
        <rFont val="Garamond"/>
        <family val="1"/>
        <scheme val="minor"/>
      </rPr>
      <t>)</t>
    </r>
  </si>
  <si>
    <r>
      <t xml:space="preserve">Make an entry for each </t>
    </r>
    <r>
      <rPr>
        <i/>
        <sz val="12"/>
        <rFont val="Garamond"/>
        <family val="1"/>
        <scheme val="minor"/>
      </rPr>
      <t>side of the transaction you are handling</t>
    </r>
    <r>
      <rPr>
        <sz val="12"/>
        <rFont val="Garamond"/>
        <family val="1"/>
        <scheme val="minor"/>
      </rPr>
      <t xml:space="preserve">. </t>
    </r>
  </si>
  <si>
    <r>
      <t xml:space="preserve">1 </t>
    </r>
    <r>
      <rPr>
        <sz val="12"/>
        <rFont val="Garamond"/>
        <family val="1"/>
        <scheme val="minor"/>
      </rPr>
      <t>Leave the "fair share" or "office cap" cell empty.</t>
    </r>
  </si>
  <si>
    <r>
      <t xml:space="preserve">2 </t>
    </r>
    <r>
      <rPr>
        <sz val="12"/>
        <rFont val="Garamond"/>
        <family val="1"/>
        <scheme val="minor"/>
      </rPr>
      <t>Enter your split in the "Initial split" as a percentage.</t>
    </r>
  </si>
  <si>
    <r>
      <t xml:space="preserve">3 </t>
    </r>
    <r>
      <rPr>
        <sz val="12"/>
        <rFont val="Garamond"/>
        <family val="1"/>
        <scheme val="minor"/>
      </rPr>
      <t>Leave all other commission structure cells empty.</t>
    </r>
  </si>
  <si>
    <r>
      <t>1. </t>
    </r>
    <r>
      <rPr>
        <sz val="12"/>
        <rFont val="Garamond"/>
        <family val="1"/>
        <scheme val="minor"/>
      </rPr>
      <t>Enter: The amount of your "fair share" or "office cap".</t>
    </r>
  </si>
  <si>
    <r>
      <t xml:space="preserve">2. </t>
    </r>
    <r>
      <rPr>
        <sz val="12"/>
        <rFont val="Garamond"/>
        <family val="1"/>
        <scheme val="minor"/>
      </rPr>
      <t>Your initial split (as a percentage) used to calculate your commission before having reached your "fair share" or "office cap".</t>
    </r>
  </si>
  <si>
    <r>
      <t>3. </t>
    </r>
    <r>
      <rPr>
        <sz val="12"/>
        <rFont val="Garamond"/>
        <family val="1"/>
        <scheme val="minor"/>
      </rPr>
      <t>Your secondary split (as a percentage), the split you move to once you have met your "fair share" or "office cap".</t>
    </r>
  </si>
  <si>
    <r>
      <t xml:space="preserve">1. </t>
    </r>
    <r>
      <rPr>
        <sz val="12"/>
        <rFont val="Garamond"/>
        <family val="1"/>
        <scheme val="minor"/>
      </rPr>
      <t>Enter: The upper range of the first tier.</t>
    </r>
  </si>
  <si>
    <r>
      <t xml:space="preserve">2. </t>
    </r>
    <r>
      <rPr>
        <sz val="12"/>
        <rFont val="Garamond"/>
        <family val="1"/>
        <scheme val="minor"/>
      </rPr>
      <t>Your initial split (as a percentage) used to calculate your commission before having reached the upper end of the first tier.</t>
    </r>
  </si>
  <si>
    <r>
      <t>3.</t>
    </r>
    <r>
      <rPr>
        <sz val="12"/>
        <rFont val="Garamond"/>
        <family val="1"/>
        <scheme val="minor"/>
      </rPr>
      <t xml:space="preserve"> The upper range of the next tier.</t>
    </r>
  </si>
  <si>
    <r>
      <t xml:space="preserve">4. </t>
    </r>
    <r>
      <rPr>
        <sz val="12"/>
        <rFont val="Garamond"/>
        <family val="1"/>
        <scheme val="minor"/>
      </rPr>
      <t>The corresponding split (as a percentage).</t>
    </r>
  </si>
  <si>
    <r>
      <t xml:space="preserve">5. </t>
    </r>
    <r>
      <rPr>
        <sz val="12"/>
        <rFont val="Garamond"/>
        <family val="1"/>
        <scheme val="minor"/>
      </rPr>
      <t>Complete as many tiers as necessary to match your agreement with your company.</t>
    </r>
  </si>
  <si>
    <r>
      <t xml:space="preserve">6. </t>
    </r>
    <r>
      <rPr>
        <sz val="12"/>
        <rFont val="Garamond"/>
        <family val="1"/>
        <scheme val="minor"/>
      </rPr>
      <t>Be sure to leave the upper range blank on the top tier.</t>
    </r>
  </si>
  <si>
    <t>Click to jump to instructions on:</t>
  </si>
  <si>
    <t>Franchise fee paid to date:</t>
  </si>
  <si>
    <t>Marketing paid to date:</t>
  </si>
  <si>
    <t>Office fee paid to date:</t>
  </si>
  <si>
    <t xml:space="preserve">This sheet is a visual of your year to date. </t>
  </si>
  <si>
    <t>2025 Business Tracker</t>
  </si>
  <si>
    <t>Name</t>
  </si>
  <si>
    <t>Address</t>
  </si>
  <si>
    <t>Location</t>
  </si>
  <si>
    <t>Purchase Price</t>
  </si>
  <si>
    <t>Date Done</t>
  </si>
  <si>
    <t>Delivery Method</t>
  </si>
  <si>
    <t>Comments</t>
  </si>
  <si>
    <t>Purchase date</t>
  </si>
  <si>
    <t>Monthly Real Estate Reviews</t>
  </si>
  <si>
    <t>BNI</t>
  </si>
  <si>
    <t>Kevin Zhao</t>
  </si>
  <si>
    <t>6516 Medinah Ln, Alexandrria, 33132</t>
  </si>
  <si>
    <t>Cristina Samaha</t>
  </si>
  <si>
    <t>Raja Bala</t>
  </si>
  <si>
    <t>Jordan Northrup</t>
  </si>
  <si>
    <t>Allen Liu</t>
  </si>
  <si>
    <t>Devin Horn</t>
  </si>
  <si>
    <t>Melisa &amp; Rob Banks</t>
  </si>
  <si>
    <t>Norberto Daluz</t>
  </si>
  <si>
    <t>Darren Harvey</t>
  </si>
  <si>
    <t>Amelia Stansell</t>
  </si>
  <si>
    <t>Anita Dekhan</t>
  </si>
  <si>
    <t>Mario Ross</t>
  </si>
  <si>
    <t>Joe Catalano</t>
  </si>
  <si>
    <t>Kevin Governor</t>
  </si>
  <si>
    <t>Art Hamerschlag</t>
  </si>
  <si>
    <t>Roland</t>
  </si>
  <si>
    <t>John McGeehan</t>
  </si>
  <si>
    <t>JR Spear</t>
  </si>
  <si>
    <t>Cris Gains</t>
  </si>
  <si>
    <t>Carolyn Chappell</t>
  </si>
  <si>
    <t>Rachel McQuillen</t>
  </si>
  <si>
    <t>Henry Asherbranner</t>
  </si>
  <si>
    <t>Ben Martin</t>
  </si>
  <si>
    <t>Tom Palmer</t>
  </si>
  <si>
    <t>Julia Taylor</t>
  </si>
  <si>
    <t>Ben Michaelson</t>
  </si>
  <si>
    <t>Elizabeth Kanu</t>
  </si>
  <si>
    <t>Alec Hurley</t>
  </si>
  <si>
    <t>Samantha Jennings</t>
  </si>
  <si>
    <t>Leonard Abreu</t>
  </si>
  <si>
    <t>Brian &amp; Becky</t>
  </si>
  <si>
    <t>SOI</t>
  </si>
  <si>
    <t>Nick Minanago</t>
  </si>
  <si>
    <t>Jess &amp; Conor</t>
  </si>
  <si>
    <t>Sarah &amp; Sam Bellet</t>
  </si>
  <si>
    <t>Dennis Greza</t>
  </si>
  <si>
    <t>Al Kulynych</t>
  </si>
  <si>
    <t>Ronald Joseph - Vorsa</t>
  </si>
  <si>
    <t xml:space="preserve">Joe Garon - Richmond referral </t>
  </si>
  <si>
    <t xml:space="preserve">Quinton - Richmond referral </t>
  </si>
  <si>
    <t>Zia Hassanzadeh</t>
  </si>
  <si>
    <t>Jen Howell</t>
  </si>
  <si>
    <t>Sign Call</t>
  </si>
  <si>
    <t>Kim &amp; Damon Sidur</t>
  </si>
  <si>
    <t>3452 Belleplain Ct, Dumfries</t>
  </si>
  <si>
    <t>3382 Gunston Rd, Alexandria</t>
  </si>
  <si>
    <t>realtor referral</t>
  </si>
  <si>
    <t>Anne Duffy, Elizabeth &amp; Ariel</t>
  </si>
  <si>
    <t>926 N Edgewood St #1, Arlington</t>
  </si>
  <si>
    <t>referral</t>
  </si>
  <si>
    <t>Audra &amp; Alex Macie</t>
  </si>
  <si>
    <t>Lindsey Jasper &amp; Ben Fielder</t>
  </si>
  <si>
    <t>1103 Criton St, Herndon, VA 20170</t>
  </si>
  <si>
    <t>Rotary</t>
  </si>
  <si>
    <t>Doug Church</t>
  </si>
  <si>
    <t>5713 15th Rd N, Arlington, VA 22205</t>
  </si>
  <si>
    <t>Kristine &amp; Ken Delos Reyes</t>
  </si>
  <si>
    <t>James T Bonner III</t>
  </si>
  <si>
    <t>Jay Chikobe</t>
  </si>
  <si>
    <t>Cheryl Zellmer</t>
  </si>
  <si>
    <t>Ramzi Samaha</t>
  </si>
  <si>
    <t>Austin Kennedy</t>
  </si>
  <si>
    <t>Victor Rhoder</t>
  </si>
  <si>
    <t>my property</t>
  </si>
  <si>
    <t>Nathan Desnoyers</t>
  </si>
  <si>
    <t>14451 Saguaro Pl, Centreville, VA 20121</t>
  </si>
  <si>
    <t>CFCC</t>
  </si>
  <si>
    <t>Ashraf Kadri</t>
  </si>
  <si>
    <t>901 Vista Terrace, Blacksburg, VA 24060</t>
  </si>
  <si>
    <t>Michael Passante</t>
  </si>
  <si>
    <t>Saria Alshaikhalia</t>
  </si>
  <si>
    <t xml:space="preserve">2833 Kalmi Lee Ct,#302 Falls Church, VA 22042 </t>
  </si>
  <si>
    <t>sign call</t>
  </si>
  <si>
    <t>Sneha Durgapal &amp; Alex Hennessy</t>
  </si>
  <si>
    <t>4200 MOZART BRIGADE LANE # 4200C, FAIRFAX, VA 22033</t>
  </si>
  <si>
    <t>ninja referral</t>
  </si>
  <si>
    <t>8993 Katherine Johnson Dr, Manassas, VA 20109</t>
  </si>
  <si>
    <t>820 N Pollard #316, Arlington VA</t>
  </si>
  <si>
    <t>Lucy Pearl</t>
  </si>
  <si>
    <t>Sam Richardson</t>
  </si>
  <si>
    <t>Tatiana Reese</t>
  </si>
  <si>
    <t>Anne Duffy, Joshua Foote, Kate McCusker</t>
  </si>
  <si>
    <t>926 N Edgewood St #2, Arlington, VA 22201</t>
  </si>
  <si>
    <t>The Miravis</t>
  </si>
  <si>
    <t>Linh Huynh</t>
  </si>
  <si>
    <t>wife</t>
  </si>
  <si>
    <t>Cintia Samaha Desnoyers</t>
  </si>
  <si>
    <t>14552 Woodgate Manor Pl, Centreville, VA 20120</t>
  </si>
  <si>
    <t>Ashleigh Verma &amp; Tapinder Garcha</t>
  </si>
  <si>
    <t>2820 Hokie Ln, Alexandria, VA 22314</t>
  </si>
  <si>
    <t>Karla &amp; Daniel</t>
  </si>
  <si>
    <t>11122 Rock Garden Dr, Fairfax, 22030</t>
  </si>
  <si>
    <t>Zubeda &amp; Ashraf Kadri</t>
  </si>
  <si>
    <t>Sarah Miller</t>
  </si>
  <si>
    <t>Liam Mulcahy</t>
  </si>
  <si>
    <t>Kyria</t>
  </si>
  <si>
    <t xml:space="preserve">Miguel Shaban </t>
  </si>
  <si>
    <t>Andrew Papantoniou</t>
  </si>
  <si>
    <t>Jon Lindenberg - investment</t>
  </si>
  <si>
    <t xml:space="preserve">S </t>
  </si>
  <si>
    <t>Madison Deslatte</t>
  </si>
  <si>
    <t>Ashley Belin</t>
  </si>
  <si>
    <t>rent</t>
  </si>
  <si>
    <t>Jared Traggic &amp; Kiana Spearman</t>
  </si>
  <si>
    <t>Victor Kremer</t>
  </si>
  <si>
    <t>Robert Yates</t>
  </si>
  <si>
    <t>Johnny Sower</t>
  </si>
  <si>
    <t>Noel Contreras</t>
  </si>
  <si>
    <t>Dave Eluma</t>
  </si>
  <si>
    <t>Jon Jeyachandran</t>
  </si>
  <si>
    <t>Ester &amp; Rae Kang</t>
  </si>
  <si>
    <t>Ahmed Mohammed</t>
  </si>
  <si>
    <t>Syed</t>
  </si>
  <si>
    <t>Lynn Graham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</si>
</sst>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m/d/yy;@"/>
    <numFmt numFmtId="166" formatCode="&quot;$&quot;#,##0.00"/>
    <numFmt numFmtId="167" formatCode="m/d;@"/>
    <numFmt numFmtId="168" formatCode="0.0%"/>
    <numFmt numFmtId="169" formatCode="_(&quot;$&quot;* #,##0_);_(&quot;$&quot;* \(#,##0\);_(&quot;$&quot;* &quot;-&quot;??_);_(@_)"/>
    <numFmt numFmtId="170" formatCode="ddd"/>
    <numFmt numFmtId="171" formatCode="mmmm"/>
    <numFmt numFmtId="172" formatCode="_(* #,##0.0_);_(* \(#,##0.0\);_(* &quot;-&quot;??_);_(@_)"/>
    <numFmt numFmtId="173" formatCode="_(* #,##0_);_(* \(#,##0\);_(* &quot;-&quot;??_);_(@_)"/>
    <numFmt numFmtId="174" formatCode="0.0"/>
  </numFmts>
  <fonts count="172" x14ac:knownFonts="1">
    <font>
      <sz val="10"/>
      <name val="Arial"/>
    </font>
    <font>
      <sz val="10"/>
      <name val="Arial"/>
      <family val="2"/>
    </font>
    <font>
      <sz val="8"/>
      <name val="Arial"/>
      <family val="2"/>
    </font>
    <font>
      <b/>
      <sz val="10"/>
      <color indexed="10"/>
      <name val="Tahoma"/>
      <family val="2"/>
    </font>
    <font>
      <sz val="9"/>
      <color indexed="39"/>
      <name val="Tahoma"/>
      <family val="2"/>
    </font>
    <font>
      <b/>
      <sz val="9"/>
      <color indexed="39"/>
      <name val="Tahoma"/>
      <family val="2"/>
    </font>
    <font>
      <b/>
      <sz val="9"/>
      <color indexed="81"/>
      <name val="Tahoma"/>
      <family val="2"/>
    </font>
    <font>
      <u/>
      <sz val="10"/>
      <color theme="10"/>
      <name val="Arial"/>
      <family val="2"/>
    </font>
    <font>
      <sz val="10"/>
      <color rgb="FFFF0000"/>
      <name val="Arial"/>
      <family val="2"/>
    </font>
    <font>
      <sz val="10"/>
      <name val="Georgia"/>
      <family val="1"/>
    </font>
    <font>
      <b/>
      <sz val="12"/>
      <color theme="1"/>
      <name val="Georgia"/>
      <family val="1"/>
    </font>
    <font>
      <b/>
      <sz val="10"/>
      <color theme="1"/>
      <name val="Georgia"/>
      <family val="1"/>
    </font>
    <font>
      <sz val="10"/>
      <color theme="1"/>
      <name val="Georgia"/>
      <family val="1"/>
    </font>
    <font>
      <sz val="12"/>
      <name val="Georgia"/>
      <family val="1"/>
    </font>
    <font>
      <sz val="11"/>
      <name val="Georgia"/>
      <family val="1"/>
    </font>
    <font>
      <b/>
      <sz val="20"/>
      <color theme="1"/>
      <name val="Georgia"/>
      <family val="1"/>
    </font>
    <font>
      <sz val="12"/>
      <name val="Garamond"/>
      <family val="1"/>
    </font>
    <font>
      <sz val="12"/>
      <color theme="5"/>
      <name val="Garamond"/>
      <family val="1"/>
    </font>
    <font>
      <sz val="12"/>
      <color rgb="FFFF0000"/>
      <name val="Garamond"/>
      <family val="1"/>
    </font>
    <font>
      <b/>
      <sz val="12"/>
      <name val="Garamond"/>
      <family val="1"/>
    </font>
    <font>
      <sz val="12"/>
      <color theme="0"/>
      <name val="Garamond"/>
      <family val="1"/>
    </font>
    <font>
      <b/>
      <sz val="16"/>
      <name val="Garamond"/>
      <family val="1"/>
    </font>
    <font>
      <b/>
      <sz val="18"/>
      <color rgb="FFFF0000"/>
      <name val="Garamond"/>
      <family val="1"/>
    </font>
    <font>
      <b/>
      <sz val="14"/>
      <name val="Garamond"/>
      <family val="1"/>
    </font>
    <font>
      <sz val="10"/>
      <name val="Garamond"/>
      <family val="1"/>
    </font>
    <font>
      <b/>
      <sz val="8"/>
      <name val="Garamond"/>
      <family val="1"/>
    </font>
    <font>
      <sz val="8"/>
      <name val="Garamond"/>
      <family val="1"/>
    </font>
    <font>
      <sz val="10"/>
      <color rgb="FFFF0000"/>
      <name val="Garamond"/>
      <family val="1"/>
    </font>
    <font>
      <b/>
      <sz val="10"/>
      <name val="Garamond"/>
      <family val="1"/>
    </font>
    <font>
      <b/>
      <sz val="9"/>
      <name val="Garamond"/>
      <family val="1"/>
    </font>
    <font>
      <sz val="10"/>
      <color indexed="9"/>
      <name val="Garamond"/>
      <family val="1"/>
    </font>
    <font>
      <sz val="8"/>
      <color indexed="9"/>
      <name val="Garamond"/>
      <family val="1"/>
    </font>
    <font>
      <b/>
      <sz val="20"/>
      <name val="Garamond"/>
      <family val="1"/>
    </font>
    <font>
      <b/>
      <sz val="20"/>
      <name val="Garamond"/>
      <family val="1"/>
      <scheme val="minor"/>
    </font>
    <font>
      <b/>
      <sz val="10"/>
      <name val="Garamond"/>
      <family val="1"/>
      <scheme val="minor"/>
    </font>
    <font>
      <sz val="10"/>
      <name val="Garamond"/>
      <family val="1"/>
      <scheme val="minor"/>
    </font>
    <font>
      <sz val="10"/>
      <color rgb="FFFF0000"/>
      <name val="Garamond"/>
      <family val="1"/>
      <scheme val="minor"/>
    </font>
    <font>
      <b/>
      <sz val="14"/>
      <name val="Garamond"/>
      <family val="1"/>
      <scheme val="minor"/>
    </font>
    <font>
      <sz val="14"/>
      <name val="Garamond"/>
      <family val="1"/>
      <scheme val="minor"/>
    </font>
    <font>
      <sz val="14"/>
      <color theme="9" tint="-0.499984740745262"/>
      <name val="Garamond"/>
      <family val="1"/>
      <scheme val="minor"/>
    </font>
    <font>
      <sz val="11"/>
      <color theme="9" tint="-0.499984740745262"/>
      <name val="Garamond"/>
      <family val="1"/>
      <scheme val="minor"/>
    </font>
    <font>
      <b/>
      <sz val="16"/>
      <name val="Garamond"/>
      <family val="1"/>
      <scheme val="minor"/>
    </font>
    <font>
      <sz val="16"/>
      <name val="Garamond"/>
      <family val="1"/>
      <scheme val="minor"/>
    </font>
    <font>
      <b/>
      <sz val="12"/>
      <name val="Garamond"/>
      <family val="1"/>
      <scheme val="minor"/>
    </font>
    <font>
      <sz val="11"/>
      <name val="Garamond"/>
      <family val="1"/>
      <scheme val="minor"/>
    </font>
    <font>
      <b/>
      <sz val="11"/>
      <name val="Garamond"/>
      <family val="1"/>
      <scheme val="minor"/>
    </font>
    <font>
      <sz val="36"/>
      <color theme="1"/>
      <name val="Garamond"/>
      <family val="1"/>
      <scheme val="minor"/>
    </font>
    <font>
      <sz val="12"/>
      <name val="Garamond"/>
      <family val="1"/>
      <scheme val="minor"/>
    </font>
    <font>
      <sz val="12"/>
      <color rgb="FF2B7C95"/>
      <name val="Garamond"/>
      <family val="1"/>
      <scheme val="minor"/>
    </font>
    <font>
      <b/>
      <sz val="12"/>
      <color theme="8" tint="-0.249977111117893"/>
      <name val="Garamond"/>
      <family val="1"/>
      <scheme val="minor"/>
    </font>
    <font>
      <b/>
      <i/>
      <sz val="12"/>
      <color theme="8" tint="-0.249977111117893"/>
      <name val="Garamond"/>
      <family val="1"/>
      <scheme val="minor"/>
    </font>
    <font>
      <b/>
      <sz val="12"/>
      <color rgb="FF2B7C95"/>
      <name val="Garamond"/>
      <family val="1"/>
      <scheme val="minor"/>
    </font>
    <font>
      <sz val="14"/>
      <color rgb="FFFFFFFF"/>
      <name val="Garamond"/>
      <family val="1"/>
      <scheme val="minor"/>
    </font>
    <font>
      <b/>
      <sz val="14"/>
      <color rgb="FFFFFFFF"/>
      <name val="Garamond"/>
      <family val="1"/>
      <scheme val="minor"/>
    </font>
    <font>
      <b/>
      <sz val="12"/>
      <color theme="1"/>
      <name val="Garamond"/>
      <family val="1"/>
      <scheme val="minor"/>
    </font>
    <font>
      <sz val="12"/>
      <color theme="1"/>
      <name val="Garamond"/>
      <family val="1"/>
      <scheme val="minor"/>
    </font>
    <font>
      <sz val="12"/>
      <color rgb="FFFFFFFF"/>
      <name val="Garamond"/>
      <family val="1"/>
      <scheme val="minor"/>
    </font>
    <font>
      <sz val="12"/>
      <color rgb="FF000000"/>
      <name val="Garamond"/>
      <family val="1"/>
      <scheme val="minor"/>
    </font>
    <font>
      <b/>
      <i/>
      <sz val="12"/>
      <color rgb="FF2B7C95"/>
      <name val="Garamond"/>
      <family val="1"/>
      <scheme val="minor"/>
    </font>
    <font>
      <sz val="11"/>
      <color rgb="FFFFFFFF"/>
      <name val="Garamond"/>
      <family val="1"/>
      <scheme val="minor"/>
    </font>
    <font>
      <sz val="11"/>
      <color theme="1"/>
      <name val="Garamond"/>
      <family val="1"/>
      <scheme val="minor"/>
    </font>
    <font>
      <sz val="24"/>
      <color theme="8" tint="-0.249977111117893"/>
      <name val="Garamond"/>
      <family val="1"/>
      <scheme val="minor"/>
    </font>
    <font>
      <b/>
      <sz val="11"/>
      <color theme="1"/>
      <name val="Garamond"/>
      <family val="1"/>
      <scheme val="minor"/>
    </font>
    <font>
      <i/>
      <sz val="11"/>
      <color theme="1"/>
      <name val="Garamond"/>
      <family val="1"/>
      <scheme val="minor"/>
    </font>
    <font>
      <b/>
      <sz val="11"/>
      <color theme="8" tint="-0.249977111117893"/>
      <name val="Garamond"/>
      <family val="1"/>
      <scheme val="minor"/>
    </font>
    <font>
      <sz val="11"/>
      <color rgb="FF00B050"/>
      <name val="Garamond"/>
      <family val="1"/>
      <scheme val="minor"/>
    </font>
    <font>
      <sz val="9"/>
      <color rgb="FF2B7C95"/>
      <name val="Garamond"/>
      <family val="1"/>
      <scheme val="minor"/>
    </font>
    <font>
      <sz val="12"/>
      <color theme="0"/>
      <name val="Garamond"/>
      <family val="1"/>
      <scheme val="minor"/>
    </font>
    <font>
      <sz val="36"/>
      <color rgb="FF2B7C95"/>
      <name val="Garamond"/>
      <family val="1"/>
      <scheme val="minor"/>
    </font>
    <font>
      <sz val="20"/>
      <name val="Garamond"/>
      <family val="1"/>
      <scheme val="minor"/>
    </font>
    <font>
      <sz val="48"/>
      <color theme="1" tint="0.499984740745262"/>
      <name val="Garamond"/>
      <family val="1"/>
      <scheme val="minor"/>
    </font>
    <font>
      <sz val="12"/>
      <color theme="1" tint="0.499984740745262"/>
      <name val="Garamond"/>
      <family val="1"/>
      <scheme val="minor"/>
    </font>
    <font>
      <b/>
      <sz val="24"/>
      <color theme="0"/>
      <name val="Garamond"/>
      <family val="1"/>
      <scheme val="minor"/>
    </font>
    <font>
      <b/>
      <sz val="24"/>
      <name val="Garamond"/>
      <family val="1"/>
      <scheme val="minor"/>
    </font>
    <font>
      <b/>
      <sz val="10"/>
      <color rgb="FF2B7C95"/>
      <name val="Garamond"/>
      <family val="1"/>
      <scheme val="minor"/>
    </font>
    <font>
      <b/>
      <sz val="9"/>
      <color rgb="FF2B7C95"/>
      <name val="Garamond"/>
      <family val="1"/>
      <scheme val="minor"/>
    </font>
    <font>
      <b/>
      <sz val="10"/>
      <color theme="1"/>
      <name val="Garamond"/>
      <family val="1"/>
      <scheme val="minor"/>
    </font>
    <font>
      <b/>
      <sz val="9"/>
      <color theme="1"/>
      <name val="Garamond"/>
      <family val="1"/>
      <scheme val="minor"/>
    </font>
    <font>
      <b/>
      <sz val="8"/>
      <color theme="1"/>
      <name val="Garamond"/>
      <family val="1"/>
      <scheme val="minor"/>
    </font>
    <font>
      <b/>
      <sz val="10"/>
      <color rgb="FFFF0000"/>
      <name val="Garamond"/>
      <family val="1"/>
      <scheme val="minor"/>
    </font>
    <font>
      <sz val="9"/>
      <color rgb="FF008000"/>
      <name val="Garamond"/>
      <family val="1"/>
      <scheme val="minor"/>
    </font>
    <font>
      <sz val="10"/>
      <color rgb="FF2B7C95"/>
      <name val="Garamond"/>
      <family val="1"/>
      <scheme val="minor"/>
    </font>
    <font>
      <sz val="10"/>
      <color theme="1"/>
      <name val="Garamond"/>
      <family val="1"/>
      <scheme val="minor"/>
    </font>
    <font>
      <b/>
      <sz val="12"/>
      <color rgb="FF222222"/>
      <name val="Garamond"/>
      <family val="1"/>
      <scheme val="minor"/>
    </font>
    <font>
      <b/>
      <sz val="11"/>
      <color rgb="FF000000"/>
      <name val="Garamond"/>
      <family val="1"/>
      <scheme val="minor"/>
    </font>
    <font>
      <b/>
      <sz val="11"/>
      <color theme="9" tint="-0.249977111117893"/>
      <name val="Garamond"/>
      <family val="1"/>
      <scheme val="minor"/>
    </font>
    <font>
      <sz val="11"/>
      <color theme="8" tint="-0.249977111117893"/>
      <name val="Garamond"/>
      <family val="1"/>
      <scheme val="minor"/>
    </font>
    <font>
      <sz val="11"/>
      <color rgb="FF008000"/>
      <name val="Garamond"/>
      <family val="1"/>
      <scheme val="minor"/>
    </font>
    <font>
      <sz val="8"/>
      <color theme="1"/>
      <name val="Garamond"/>
      <family val="1"/>
      <scheme val="minor"/>
    </font>
    <font>
      <sz val="9"/>
      <color theme="1"/>
      <name val="Garamond"/>
      <family val="1"/>
      <scheme val="minor"/>
    </font>
    <font>
      <sz val="11"/>
      <color theme="9" tint="-0.249977111117893"/>
      <name val="Garamond"/>
      <family val="1"/>
      <scheme val="minor"/>
    </font>
    <font>
      <sz val="8"/>
      <color rgb="FF008000"/>
      <name val="Garamond"/>
      <family val="1"/>
      <scheme val="minor"/>
    </font>
    <font>
      <sz val="11"/>
      <name val="Arial"/>
      <family val="2"/>
    </font>
    <font>
      <b/>
      <sz val="24"/>
      <color theme="1"/>
      <name val="Garamond"/>
      <family val="1"/>
      <scheme val="minor"/>
    </font>
    <font>
      <b/>
      <sz val="24"/>
      <color theme="1"/>
      <name val="Garamond"/>
      <family val="1"/>
      <scheme val="major"/>
    </font>
    <font>
      <sz val="9"/>
      <name val="Garamond"/>
      <family val="1"/>
      <scheme val="minor"/>
    </font>
    <font>
      <u/>
      <sz val="11"/>
      <name val="Garamond"/>
      <family val="1"/>
      <scheme val="minor"/>
    </font>
    <font>
      <b/>
      <sz val="9"/>
      <name val="Garamond"/>
      <family val="1"/>
      <scheme val="minor"/>
    </font>
    <font>
      <b/>
      <sz val="24"/>
      <color theme="8" tint="-0.499984740745262"/>
      <name val="Garamond"/>
      <family val="1"/>
      <scheme val="minor"/>
    </font>
    <font>
      <b/>
      <sz val="18"/>
      <name val="Garamond"/>
      <family val="1"/>
    </font>
    <font>
      <sz val="12"/>
      <color rgb="FFFF0000"/>
      <name val="Garamond"/>
      <family val="1"/>
      <scheme val="minor"/>
    </font>
    <font>
      <b/>
      <i/>
      <sz val="12"/>
      <color theme="1"/>
      <name val="Garamond"/>
      <family val="1"/>
      <scheme val="minor"/>
    </font>
    <font>
      <b/>
      <sz val="12"/>
      <color theme="9"/>
      <name val="Garamond"/>
      <family val="1"/>
      <scheme val="minor"/>
    </font>
    <font>
      <sz val="9"/>
      <color rgb="FFFF0000"/>
      <name val="Garamond"/>
      <family val="1"/>
      <scheme val="minor"/>
    </font>
    <font>
      <b/>
      <sz val="8"/>
      <name val="Garamond"/>
      <family val="1"/>
      <scheme val="minor"/>
    </font>
    <font>
      <sz val="12"/>
      <color theme="9" tint="-0.499984740745262"/>
      <name val="Garamond"/>
      <family val="1"/>
      <scheme val="minor"/>
    </font>
    <font>
      <b/>
      <sz val="12"/>
      <color rgb="FFFF0000"/>
      <name val="Garamond"/>
      <family val="1"/>
      <scheme val="minor"/>
    </font>
    <font>
      <i/>
      <sz val="10"/>
      <color theme="8" tint="-0.499984740745262"/>
      <name val="Georgia"/>
      <family val="1"/>
    </font>
    <font>
      <sz val="10"/>
      <color theme="8" tint="-0.499984740745262"/>
      <name val="Georgia"/>
      <family val="1"/>
    </font>
    <font>
      <i/>
      <sz val="10"/>
      <color theme="8"/>
      <name val="Georgia"/>
      <family val="1"/>
    </font>
    <font>
      <sz val="10"/>
      <color theme="8"/>
      <name val="Georgia"/>
      <family val="1"/>
    </font>
    <font>
      <sz val="10"/>
      <color rgb="FF000000"/>
      <name val="Arial"/>
      <family val="2"/>
    </font>
    <font>
      <sz val="9"/>
      <color theme="9"/>
      <name val="Garamond"/>
      <family val="1"/>
      <scheme val="minor"/>
    </font>
    <font>
      <sz val="9"/>
      <color theme="3" tint="0.39997558519241921"/>
      <name val="Garamond"/>
      <family val="1"/>
      <scheme val="minor"/>
    </font>
    <font>
      <sz val="11"/>
      <color rgb="FFFF0000"/>
      <name val="Garamond"/>
      <family val="1"/>
      <scheme val="minor"/>
    </font>
    <font>
      <sz val="12"/>
      <color theme="8" tint="-0.499984740745262"/>
      <name val="Garamond"/>
      <family val="1"/>
      <scheme val="minor"/>
    </font>
    <font>
      <sz val="10"/>
      <color rgb="FFFF0000"/>
      <name val="Georgia"/>
      <family val="1"/>
    </font>
    <font>
      <b/>
      <sz val="14"/>
      <color rgb="FFFF0000"/>
      <name val="Garamond"/>
      <family val="1"/>
      <scheme val="minor"/>
    </font>
    <font>
      <sz val="9"/>
      <color theme="8" tint="0.59999389629810485"/>
      <name val="Garamond"/>
      <family val="1"/>
      <scheme val="minor"/>
    </font>
    <font>
      <sz val="12"/>
      <color theme="3" tint="0.39997558519241921"/>
      <name val="Garamond"/>
      <family val="1"/>
      <scheme val="minor"/>
    </font>
    <font>
      <b/>
      <sz val="16"/>
      <color rgb="FFFF0000"/>
      <name val="Garamond"/>
      <family val="1"/>
      <scheme val="minor"/>
    </font>
    <font>
      <b/>
      <sz val="16"/>
      <color theme="8" tint="-0.249977111117893"/>
      <name val="Garamond"/>
      <family val="1"/>
      <scheme val="minor"/>
    </font>
    <font>
      <sz val="18"/>
      <name val="Garamond"/>
      <family val="1"/>
    </font>
    <font>
      <sz val="18"/>
      <name val="Garamond"/>
      <family val="1"/>
      <scheme val="minor"/>
    </font>
    <font>
      <sz val="48"/>
      <name val="Garamond"/>
      <family val="1"/>
      <scheme val="minor"/>
    </font>
    <font>
      <sz val="26"/>
      <name val="Garamond"/>
      <family val="1"/>
      <scheme val="minor"/>
    </font>
    <font>
      <b/>
      <sz val="18"/>
      <name val="Garamond"/>
      <family val="1"/>
      <scheme val="minor"/>
    </font>
    <font>
      <sz val="9"/>
      <color theme="8" tint="-0.249977111117893"/>
      <name val="Garamond"/>
      <family val="1"/>
      <scheme val="minor"/>
    </font>
    <font>
      <sz val="22"/>
      <color rgb="FFFF0000"/>
      <name val="Garamond"/>
      <family val="1"/>
      <scheme val="major"/>
    </font>
    <font>
      <sz val="10"/>
      <color theme="1"/>
      <name val="Garamond"/>
      <family val="1"/>
      <scheme val="major"/>
    </font>
    <font>
      <sz val="48"/>
      <color theme="1"/>
      <name val="Garamond"/>
      <family val="1"/>
      <scheme val="major"/>
    </font>
    <font>
      <sz val="18"/>
      <color theme="1"/>
      <name val="Garamond"/>
      <family val="1"/>
      <scheme val="major"/>
    </font>
    <font>
      <b/>
      <sz val="18"/>
      <color theme="1"/>
      <name val="Garamond"/>
      <family val="1"/>
      <scheme val="major"/>
    </font>
    <font>
      <sz val="18"/>
      <name val="Garamond"/>
      <family val="1"/>
      <scheme val="major"/>
    </font>
    <font>
      <u/>
      <sz val="18"/>
      <name val="Garamond"/>
      <family val="1"/>
      <scheme val="major"/>
    </font>
    <font>
      <b/>
      <sz val="12"/>
      <color theme="1"/>
      <name val="Garamond"/>
      <family val="1"/>
      <scheme val="major"/>
    </font>
    <font>
      <sz val="21"/>
      <color theme="1"/>
      <name val="Garamond"/>
      <family val="1"/>
      <scheme val="major"/>
    </font>
    <font>
      <sz val="14"/>
      <color theme="1"/>
      <name val="Garamond"/>
      <family val="1"/>
      <scheme val="major"/>
    </font>
    <font>
      <sz val="24"/>
      <color theme="1"/>
      <name val="Garamond"/>
      <family val="1"/>
      <scheme val="major"/>
    </font>
    <font>
      <sz val="12"/>
      <color theme="1"/>
      <name val="Garamond"/>
      <family val="1"/>
      <scheme val="major"/>
    </font>
    <font>
      <sz val="8"/>
      <name val="Garamond"/>
      <family val="1"/>
      <scheme val="minor"/>
    </font>
    <font>
      <sz val="14"/>
      <name val="Calibri"/>
      <family val="2"/>
    </font>
    <font>
      <sz val="10"/>
      <color theme="0"/>
      <name val="Garamond"/>
      <family val="1"/>
    </font>
    <font>
      <sz val="14"/>
      <name val="Garamond"/>
      <family val="1"/>
    </font>
    <font>
      <b/>
      <sz val="36"/>
      <name val="Garamond"/>
      <family val="1"/>
      <scheme val="minor"/>
    </font>
    <font>
      <b/>
      <sz val="11"/>
      <color theme="0"/>
      <name val="Garamond"/>
      <family val="1"/>
      <scheme val="minor"/>
    </font>
    <font>
      <sz val="11"/>
      <color theme="0"/>
      <name val="Garamond"/>
      <family val="1"/>
      <scheme val="minor"/>
    </font>
    <font>
      <b/>
      <sz val="12"/>
      <color rgb="FF00B0F0"/>
      <name val="Garamond"/>
      <family val="1"/>
      <scheme val="minor"/>
    </font>
    <font>
      <sz val="12"/>
      <color rgb="FF00B0F0"/>
      <name val="Garamond"/>
      <family val="1"/>
      <scheme val="minor"/>
    </font>
    <font>
      <b/>
      <sz val="16"/>
      <color theme="0"/>
      <name val="Garamond"/>
      <family val="1"/>
      <scheme val="minor"/>
    </font>
    <font>
      <sz val="12"/>
      <color rgb="FF156082"/>
      <name val="Garamond"/>
      <family val="1"/>
      <scheme val="minor"/>
    </font>
    <font>
      <b/>
      <sz val="12"/>
      <color theme="0" tint="-0.499984740745262"/>
      <name val="Garamond"/>
      <family val="1"/>
      <scheme val="minor"/>
    </font>
    <font>
      <sz val="78"/>
      <name val="Garamond"/>
      <family val="1"/>
      <scheme val="major"/>
    </font>
    <font>
      <sz val="14"/>
      <color theme="1"/>
      <name val="Garamond"/>
      <family val="1"/>
      <scheme val="minor"/>
    </font>
    <font>
      <u/>
      <sz val="14"/>
      <color theme="10"/>
      <name val="Garamond"/>
      <family val="1"/>
      <scheme val="minor"/>
    </font>
    <font>
      <i/>
      <sz val="12"/>
      <name val="Garamond"/>
      <family val="1"/>
      <scheme val="minor"/>
    </font>
    <font>
      <sz val="11"/>
      <color theme="3" tint="-0.249977111117893"/>
      <name val="Garamond"/>
      <family val="1"/>
      <scheme val="minor"/>
    </font>
    <font>
      <sz val="10"/>
      <color theme="3" tint="-0.249977111117893"/>
      <name val="Arial"/>
      <family val="2"/>
    </font>
    <font>
      <sz val="12"/>
      <color theme="0" tint="-0.34998626667073579"/>
      <name val="Garamond"/>
      <family val="1"/>
      <scheme val="minor"/>
    </font>
    <font>
      <b/>
      <sz val="11"/>
      <color theme="1"/>
      <name val="Garamond"/>
      <family val="2"/>
      <scheme val="minor"/>
    </font>
    <font>
      <sz val="16"/>
      <name val="Arial"/>
      <family val="2"/>
    </font>
    <font>
      <b/>
      <sz val="10"/>
      <name val="Arial"/>
      <family val="2"/>
    </font>
    <font>
      <b/>
      <sz val="10"/>
      <color rgb="FF000000"/>
      <name val="Tahoma"/>
      <family val="2"/>
    </font>
    <font>
      <b/>
      <sz val="8"/>
      <color rgb="FF000000"/>
      <name val="Tahoma"/>
      <family val="2"/>
    </font>
    <font>
      <sz val="10"/>
      <color rgb="FF000000"/>
      <name val="Tahoma"/>
      <family val="2"/>
    </font>
    <font>
      <i/>
      <sz val="10"/>
      <color rgb="FF000000"/>
      <name val="Tahoma"/>
      <family val="2"/>
    </font>
    <font>
      <sz val="9"/>
      <color rgb="FF2B7C95"/>
      <name val="Aptos Narrow"/>
      <family val="1"/>
    </font>
    <font>
      <sz val="10"/>
      <name val="Aptos Narrow"/>
      <family val="1"/>
    </font>
    <font>
      <sz val="10"/>
      <color rgb="FF2B7C95"/>
      <name val="Aptos Narrow"/>
      <family val="1"/>
    </font>
    <font>
      <sz val="10"/>
      <color rgb="FF000000"/>
      <name val="Aptos Narrow"/>
      <family val="1"/>
    </font>
    <font>
      <sz val="9"/>
      <color rgb="FF2D7DCE"/>
      <name val="Aptos Narrow"/>
      <family val="1"/>
    </font>
    <font>
      <sz val="12"/>
      <color rgb="FF353535"/>
      <name val="Arial"/>
      <family val="2"/>
    </font>
  </fonts>
  <fills count="33">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rgb="FF000000"/>
      </patternFill>
    </fill>
    <fill>
      <patternFill patternType="solid">
        <fgColor rgb="FF2B7C9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3" tint="-0.249977111117893"/>
        <bgColor rgb="FF000000"/>
      </patternFill>
    </fill>
    <fill>
      <patternFill patternType="solid">
        <fgColor theme="3" tint="-0.249977111117893"/>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4" tint="-9.9978637043366805E-2"/>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8" tint="0.59999389629810485"/>
        <bgColor rgb="FF000000"/>
      </patternFill>
    </fill>
    <fill>
      <patternFill patternType="solid">
        <fgColor theme="9" tint="0.39997558519241921"/>
        <bgColor indexed="64"/>
      </patternFill>
    </fill>
    <fill>
      <patternFill patternType="solid">
        <fgColor theme="9" tint="0.59999389629810485"/>
        <bgColor indexed="64"/>
      </patternFill>
    </fill>
    <fill>
      <patternFill patternType="solid">
        <fgColor rgb="FFD9D9D9"/>
        <bgColor rgb="FF000000"/>
      </patternFill>
    </fill>
  </fills>
  <borders count="193">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bottom style="thin">
        <color indexed="23"/>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style="thin">
        <color indexed="23"/>
      </top>
      <bottom/>
      <diagonal/>
    </border>
    <border>
      <left style="thin">
        <color indexed="8"/>
      </left>
      <right/>
      <top style="thin">
        <color indexed="23"/>
      </top>
      <bottom style="thin">
        <color indexed="8"/>
      </bottom>
      <diagonal/>
    </border>
    <border>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63"/>
      </right>
      <top style="thin">
        <color indexed="23"/>
      </top>
      <bottom style="thin">
        <color indexed="23"/>
      </bottom>
      <diagonal/>
    </border>
    <border>
      <left style="thin">
        <color indexed="8"/>
      </left>
      <right style="thin">
        <color indexed="63"/>
      </right>
      <top style="thin">
        <color indexed="23"/>
      </top>
      <bottom style="thin">
        <color indexed="8"/>
      </bottom>
      <diagonal/>
    </border>
    <border>
      <left style="thin">
        <color indexed="8"/>
      </left>
      <right style="thin">
        <color indexed="63"/>
      </right>
      <top/>
      <bottom style="thin">
        <color indexed="23"/>
      </bottom>
      <diagonal/>
    </border>
    <border>
      <left style="thin">
        <color indexed="8"/>
      </left>
      <right style="thin">
        <color indexed="63"/>
      </right>
      <top style="thin">
        <color indexed="8"/>
      </top>
      <bottom style="thin">
        <color indexed="8"/>
      </bottom>
      <diagonal/>
    </border>
    <border>
      <left style="thin">
        <color indexed="63"/>
      </left>
      <right style="thin">
        <color indexed="63"/>
      </right>
      <top style="thin">
        <color indexed="8"/>
      </top>
      <bottom style="thin">
        <color indexed="8"/>
      </bottom>
      <diagonal/>
    </border>
    <border>
      <left style="thin">
        <color indexed="63"/>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55"/>
      </right>
      <top style="thin">
        <color indexed="8"/>
      </top>
      <bottom style="thin">
        <color indexed="55"/>
      </bottom>
      <diagonal/>
    </border>
    <border>
      <left style="thin">
        <color indexed="55"/>
      </left>
      <right style="thin">
        <color indexed="8"/>
      </right>
      <top style="thin">
        <color indexed="8"/>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8"/>
      </right>
      <top style="thin">
        <color indexed="55"/>
      </top>
      <bottom style="thin">
        <color indexed="55"/>
      </bottom>
      <diagonal/>
    </border>
    <border>
      <left style="thin">
        <color indexed="64"/>
      </left>
      <right style="thin">
        <color indexed="55"/>
      </right>
      <top style="thin">
        <color indexed="55"/>
      </top>
      <bottom style="thin">
        <color indexed="8"/>
      </bottom>
      <diagonal/>
    </border>
    <border>
      <left style="thin">
        <color indexed="55"/>
      </left>
      <right style="thin">
        <color indexed="8"/>
      </right>
      <top style="thin">
        <color indexed="55"/>
      </top>
      <bottom style="thin">
        <color indexed="8"/>
      </bottom>
      <diagonal/>
    </border>
    <border>
      <left style="thin">
        <color indexed="8"/>
      </left>
      <right style="thin">
        <color indexed="63"/>
      </right>
      <top style="thin">
        <color indexed="8"/>
      </top>
      <bottom style="thin">
        <color indexed="55"/>
      </bottom>
      <diagonal/>
    </border>
    <border>
      <left style="thin">
        <color indexed="63"/>
      </left>
      <right style="thin">
        <color indexed="63"/>
      </right>
      <top style="thin">
        <color indexed="8"/>
      </top>
      <bottom style="thin">
        <color indexed="55"/>
      </bottom>
      <diagonal/>
    </border>
    <border>
      <left style="thin">
        <color indexed="63"/>
      </left>
      <right style="thin">
        <color indexed="64"/>
      </right>
      <top style="thin">
        <color indexed="8"/>
      </top>
      <bottom style="thin">
        <color indexed="55"/>
      </bottom>
      <diagonal/>
    </border>
    <border>
      <left style="thin">
        <color indexed="8"/>
      </left>
      <right style="thin">
        <color indexed="63"/>
      </right>
      <top style="thin">
        <color indexed="55"/>
      </top>
      <bottom style="thin">
        <color indexed="55"/>
      </bottom>
      <diagonal/>
    </border>
    <border>
      <left style="thin">
        <color indexed="63"/>
      </left>
      <right style="thin">
        <color indexed="63"/>
      </right>
      <top style="thin">
        <color indexed="55"/>
      </top>
      <bottom style="thin">
        <color indexed="55"/>
      </bottom>
      <diagonal/>
    </border>
    <border>
      <left style="thin">
        <color indexed="63"/>
      </left>
      <right style="thin">
        <color indexed="64"/>
      </right>
      <top style="thin">
        <color indexed="55"/>
      </top>
      <bottom style="thin">
        <color indexed="55"/>
      </bottom>
      <diagonal/>
    </border>
    <border>
      <left style="thin">
        <color indexed="8"/>
      </left>
      <right style="thin">
        <color indexed="63"/>
      </right>
      <top style="thin">
        <color indexed="55"/>
      </top>
      <bottom style="thin">
        <color indexed="8"/>
      </bottom>
      <diagonal/>
    </border>
    <border>
      <left style="thin">
        <color indexed="63"/>
      </left>
      <right style="thin">
        <color indexed="63"/>
      </right>
      <top style="thin">
        <color indexed="55"/>
      </top>
      <bottom style="thin">
        <color indexed="8"/>
      </bottom>
      <diagonal/>
    </border>
    <border>
      <left style="thin">
        <color indexed="63"/>
      </left>
      <right style="thin">
        <color indexed="64"/>
      </right>
      <top style="thin">
        <color indexed="55"/>
      </top>
      <bottom style="thin">
        <color indexed="8"/>
      </bottom>
      <diagonal/>
    </border>
    <border>
      <left style="thin">
        <color indexed="8"/>
      </left>
      <right style="thin">
        <color indexed="55"/>
      </right>
      <top style="thin">
        <color indexed="8"/>
      </top>
      <bottom style="thin">
        <color indexed="55"/>
      </bottom>
      <diagonal/>
    </border>
    <border>
      <left style="thin">
        <color indexed="55"/>
      </left>
      <right style="thin">
        <color indexed="55"/>
      </right>
      <top style="thin">
        <color indexed="8"/>
      </top>
      <bottom style="thin">
        <color indexed="55"/>
      </bottom>
      <diagonal/>
    </border>
    <border>
      <left style="thin">
        <color indexed="8"/>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8"/>
      </left>
      <right style="thin">
        <color indexed="55"/>
      </right>
      <top style="thin">
        <color indexed="55"/>
      </top>
      <bottom style="thin">
        <color indexed="8"/>
      </bottom>
      <diagonal/>
    </border>
    <border>
      <left style="thin">
        <color indexed="55"/>
      </left>
      <right style="thin">
        <color indexed="55"/>
      </right>
      <top style="thin">
        <color indexed="55"/>
      </top>
      <bottom style="thin">
        <color indexed="8"/>
      </bottom>
      <diagonal/>
    </border>
    <border>
      <left style="thin">
        <color indexed="55"/>
      </left>
      <right style="thin">
        <color indexed="63"/>
      </right>
      <top style="thin">
        <color indexed="8"/>
      </top>
      <bottom style="thin">
        <color indexed="55"/>
      </bottom>
      <diagonal/>
    </border>
    <border>
      <left style="thin">
        <color indexed="55"/>
      </left>
      <right style="thin">
        <color indexed="63"/>
      </right>
      <top style="thin">
        <color indexed="55"/>
      </top>
      <bottom style="thin">
        <color indexed="55"/>
      </bottom>
      <diagonal/>
    </border>
    <border>
      <left style="thin">
        <color indexed="55"/>
      </left>
      <right style="thin">
        <color indexed="63"/>
      </right>
      <top style="thin">
        <color indexed="55"/>
      </top>
      <bottom style="thin">
        <color indexed="8"/>
      </bottom>
      <diagonal/>
    </border>
    <border>
      <left style="thin">
        <color indexed="63"/>
      </left>
      <right style="thin">
        <color indexed="55"/>
      </right>
      <top style="thin">
        <color indexed="8"/>
      </top>
      <bottom style="thin">
        <color indexed="55"/>
      </bottom>
      <diagonal/>
    </border>
    <border>
      <left style="thin">
        <color indexed="63"/>
      </left>
      <right style="thin">
        <color indexed="55"/>
      </right>
      <top style="thin">
        <color indexed="55"/>
      </top>
      <bottom style="thin">
        <color indexed="55"/>
      </bottom>
      <diagonal/>
    </border>
    <border>
      <left style="thin">
        <color indexed="63"/>
      </left>
      <right style="thin">
        <color indexed="55"/>
      </right>
      <top style="thin">
        <color indexed="55"/>
      </top>
      <bottom style="thin">
        <color indexed="8"/>
      </bottom>
      <diagonal/>
    </border>
    <border>
      <left style="thin">
        <color indexed="55"/>
      </left>
      <right/>
      <top style="thin">
        <color indexed="8"/>
      </top>
      <bottom style="thin">
        <color indexed="55"/>
      </bottom>
      <diagonal/>
    </border>
    <border>
      <left style="thin">
        <color indexed="55"/>
      </left>
      <right/>
      <top style="thin">
        <color indexed="55"/>
      </top>
      <bottom style="thin">
        <color indexed="55"/>
      </bottom>
      <diagonal/>
    </border>
    <border>
      <left style="thin">
        <color indexed="55"/>
      </left>
      <right/>
      <top style="thin">
        <color indexed="55"/>
      </top>
      <bottom style="thin">
        <color indexed="8"/>
      </bottom>
      <diagonal/>
    </border>
    <border>
      <left style="thin">
        <color indexed="8"/>
      </left>
      <right/>
      <top/>
      <bottom style="thin">
        <color indexed="8"/>
      </bottom>
      <diagonal/>
    </border>
    <border>
      <left style="thin">
        <color indexed="55"/>
      </left>
      <right style="thin">
        <color indexed="8"/>
      </right>
      <top/>
      <bottom style="thin">
        <color indexed="55"/>
      </bottom>
      <diagonal/>
    </border>
    <border>
      <left/>
      <right style="thin">
        <color indexed="64"/>
      </right>
      <top/>
      <bottom/>
      <diagonal/>
    </border>
    <border>
      <left style="thin">
        <color indexed="23"/>
      </left>
      <right style="thin">
        <color indexed="23"/>
      </right>
      <top/>
      <bottom style="thin">
        <color indexed="23"/>
      </bottom>
      <diagonal/>
    </border>
    <border>
      <left style="thin">
        <color indexed="23"/>
      </left>
      <right style="thin">
        <color indexed="8"/>
      </right>
      <top/>
      <bottom style="thin">
        <color indexed="23"/>
      </bottom>
      <diagonal/>
    </border>
    <border>
      <left style="thin">
        <color indexed="23"/>
      </left>
      <right style="thin">
        <color indexed="8"/>
      </right>
      <top style="thin">
        <color indexed="23"/>
      </top>
      <bottom style="thin">
        <color indexed="23"/>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thin">
        <color indexed="8"/>
      </bottom>
      <diagonal/>
    </border>
    <border>
      <left style="thin">
        <color indexed="8"/>
      </left>
      <right style="thin">
        <color indexed="8"/>
      </right>
      <top/>
      <bottom style="thin">
        <color indexed="8"/>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8"/>
      </top>
      <bottom style="thin">
        <color indexed="8"/>
      </bottom>
      <diagonal/>
    </border>
    <border>
      <left/>
      <right style="medium">
        <color indexed="64"/>
      </right>
      <top style="medium">
        <color indexed="64"/>
      </top>
      <bottom style="medium">
        <color indexed="64"/>
      </bottom>
      <diagonal/>
    </border>
    <border>
      <left style="thin">
        <color indexed="23"/>
      </left>
      <right style="thin">
        <color indexed="23"/>
      </right>
      <top style="thin">
        <color indexed="8"/>
      </top>
      <bottom style="thin">
        <color indexed="8"/>
      </bottom>
      <diagonal/>
    </border>
    <border>
      <left style="thin">
        <color indexed="23"/>
      </left>
      <right style="thin">
        <color indexed="8"/>
      </right>
      <top style="thin">
        <color indexed="8"/>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bottom style="thin">
        <color indexed="8"/>
      </bottom>
      <diagonal/>
    </border>
    <border>
      <left/>
      <right style="thin">
        <color indexed="8"/>
      </right>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8"/>
      </left>
      <right/>
      <top/>
      <bottom style="thin">
        <color indexed="64"/>
      </bottom>
      <diagonal/>
    </border>
    <border>
      <left/>
      <right/>
      <top style="thin">
        <color indexed="8"/>
      </top>
      <bottom/>
      <diagonal/>
    </border>
    <border>
      <left/>
      <right style="thin">
        <color indexed="8"/>
      </right>
      <top/>
      <bottom style="thin">
        <color indexed="64"/>
      </bottom>
      <diagonal/>
    </border>
    <border>
      <left style="thin">
        <color indexed="8"/>
      </left>
      <right/>
      <top/>
      <bottom/>
      <diagonal/>
    </border>
    <border>
      <left style="thin">
        <color indexed="8"/>
      </left>
      <right/>
      <top style="thin">
        <color indexed="8"/>
      </top>
      <bottom style="thin">
        <color indexed="23"/>
      </bottom>
      <diagonal/>
    </border>
    <border>
      <left/>
      <right/>
      <top style="thin">
        <color indexed="8"/>
      </top>
      <bottom style="thin">
        <color indexed="23"/>
      </bottom>
      <diagonal/>
    </border>
    <border>
      <left/>
      <right style="thin">
        <color indexed="8"/>
      </right>
      <top style="thin">
        <color indexed="8"/>
      </top>
      <bottom style="thin">
        <color indexed="23"/>
      </bottom>
      <diagonal/>
    </border>
    <border>
      <left style="thin">
        <color indexed="8"/>
      </left>
      <right style="thin">
        <color indexed="23"/>
      </right>
      <top style="thin">
        <color indexed="8"/>
      </top>
      <bottom style="thin">
        <color indexed="8"/>
      </bottom>
      <diagonal/>
    </border>
    <border>
      <left style="thin">
        <color indexed="8"/>
      </left>
      <right style="thin">
        <color indexed="23"/>
      </right>
      <top/>
      <bottom style="thin">
        <color indexed="23"/>
      </bottom>
      <diagonal/>
    </border>
    <border>
      <left style="thin">
        <color indexed="8"/>
      </left>
      <right style="thin">
        <color indexed="23"/>
      </right>
      <top style="thin">
        <color indexed="23"/>
      </top>
      <bottom style="thin">
        <color indexed="2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92D050"/>
      </left>
      <right/>
      <top/>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right/>
      <top style="thick">
        <color auto="1"/>
      </top>
      <bottom/>
      <diagonal/>
    </border>
    <border>
      <left style="thick">
        <color theme="1"/>
      </left>
      <right/>
      <top/>
      <bottom/>
      <diagonal/>
    </border>
    <border>
      <left/>
      <right style="thick">
        <color theme="1"/>
      </right>
      <top/>
      <bottom/>
      <diagonal/>
    </border>
    <border>
      <left/>
      <right style="thick">
        <color auto="1"/>
      </right>
      <top/>
      <bottom/>
      <diagonal/>
    </border>
    <border>
      <left/>
      <right/>
      <top/>
      <bottom style="thin">
        <color theme="0"/>
      </bottom>
      <diagonal/>
    </border>
    <border>
      <left/>
      <right/>
      <top style="thin">
        <color theme="0"/>
      </top>
      <bottom style="thin">
        <color theme="0"/>
      </bottom>
      <diagonal/>
    </border>
    <border>
      <left/>
      <right/>
      <top/>
      <bottom style="thick">
        <color theme="1"/>
      </bottom>
      <diagonal/>
    </border>
    <border>
      <left style="thick">
        <color theme="1"/>
      </left>
      <right/>
      <top/>
      <bottom style="thick">
        <color theme="1"/>
      </bottom>
      <diagonal/>
    </border>
    <border>
      <left/>
      <right/>
      <top style="thin">
        <color theme="0"/>
      </top>
      <bottom style="medium">
        <color indexed="64"/>
      </bottom>
      <diagonal/>
    </border>
    <border>
      <left style="medium">
        <color theme="1"/>
      </left>
      <right style="medium">
        <color theme="1"/>
      </right>
      <top style="thick">
        <color theme="1"/>
      </top>
      <bottom style="medium">
        <color theme="1"/>
      </bottom>
      <diagonal/>
    </border>
    <border>
      <left style="medium">
        <color theme="1"/>
      </left>
      <right/>
      <top style="thick">
        <color theme="1"/>
      </top>
      <bottom/>
      <diagonal/>
    </border>
    <border>
      <left style="medium">
        <color theme="1"/>
      </left>
      <right style="medium">
        <color theme="1"/>
      </right>
      <top/>
      <bottom style="medium">
        <color theme="1"/>
      </bottom>
      <diagonal/>
    </border>
    <border>
      <left style="medium">
        <color theme="1"/>
      </left>
      <right/>
      <top/>
      <bottom/>
      <diagonal/>
    </border>
    <border>
      <left/>
      <right/>
      <top style="thick">
        <color theme="6" tint="0.79998168889431442"/>
      </top>
      <bottom style="thick">
        <color theme="0" tint="-4.9989318521683403E-2"/>
      </bottom>
      <diagonal/>
    </border>
    <border>
      <left/>
      <right/>
      <top/>
      <bottom style="thick">
        <color theme="0" tint="-4.9989318521683403E-2"/>
      </bottom>
      <diagonal/>
    </border>
    <border>
      <left/>
      <right/>
      <top style="thick">
        <color theme="0" tint="-4.9989318521683403E-2"/>
      </top>
      <bottom style="thick">
        <color theme="0" tint="-4.9989318521683403E-2"/>
      </bottom>
      <diagonal/>
    </border>
    <border>
      <left/>
      <right/>
      <top style="thick">
        <color theme="0" tint="-4.9989318521683403E-2"/>
      </top>
      <bottom style="thick">
        <color theme="1"/>
      </bottom>
      <diagonal/>
    </border>
    <border>
      <left style="thick">
        <color auto="1"/>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thick">
        <color auto="1"/>
      </right>
      <top style="medium">
        <color theme="0" tint="-0.499984740745262"/>
      </top>
      <bottom style="medium">
        <color theme="0" tint="-0.499984740745262"/>
      </bottom>
      <diagonal/>
    </border>
    <border>
      <left style="thick">
        <color auto="1"/>
      </left>
      <right style="medium">
        <color theme="0" tint="-0.499984740745262"/>
      </right>
      <top style="medium">
        <color theme="0" tint="-0.499984740745262"/>
      </top>
      <bottom style="thick">
        <color auto="1"/>
      </bottom>
      <diagonal/>
    </border>
    <border>
      <left style="medium">
        <color theme="0" tint="-0.499984740745262"/>
      </left>
      <right style="medium">
        <color theme="0" tint="-0.499984740745262"/>
      </right>
      <top style="medium">
        <color theme="0" tint="-0.499984740745262"/>
      </top>
      <bottom style="thick">
        <color auto="1"/>
      </bottom>
      <diagonal/>
    </border>
    <border>
      <left style="medium">
        <color theme="0" tint="-0.499984740745262"/>
      </left>
      <right style="thick">
        <color auto="1"/>
      </right>
      <top style="medium">
        <color theme="0" tint="-0.499984740745262"/>
      </top>
      <bottom style="thick">
        <color auto="1"/>
      </bottom>
      <diagonal/>
    </border>
    <border>
      <left style="thick">
        <color auto="1"/>
      </left>
      <right/>
      <top style="thick">
        <color auto="1"/>
      </top>
      <bottom style="medium">
        <color theme="0" tint="-0.499984740745262"/>
      </bottom>
      <diagonal/>
    </border>
    <border>
      <left/>
      <right/>
      <top style="thick">
        <color auto="1"/>
      </top>
      <bottom style="medium">
        <color theme="0" tint="-0.499984740745262"/>
      </bottom>
      <diagonal/>
    </border>
    <border>
      <left/>
      <right style="thick">
        <color auto="1"/>
      </right>
      <top style="thick">
        <color auto="1"/>
      </top>
      <bottom style="medium">
        <color theme="0" tint="-0.499984740745262"/>
      </bottom>
      <diagonal/>
    </border>
    <border>
      <left style="medium">
        <color indexed="64"/>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indexed="64"/>
      </right>
      <top style="medium">
        <color theme="0" tint="-0.499984740745262"/>
      </top>
      <bottom style="medium">
        <color theme="0" tint="-0.499984740745262"/>
      </bottom>
      <diagonal/>
    </border>
    <border>
      <left style="medium">
        <color indexed="64"/>
      </left>
      <right style="medium">
        <color theme="0" tint="-0.499984740745262"/>
      </right>
      <top style="medium">
        <color theme="0" tint="-0.499984740745262"/>
      </top>
      <bottom style="medium">
        <color indexed="64"/>
      </bottom>
      <diagonal/>
    </border>
    <border>
      <left style="medium">
        <color theme="0" tint="-0.499984740745262"/>
      </left>
      <right style="medium">
        <color theme="0" tint="-0.499984740745262"/>
      </right>
      <top style="medium">
        <color theme="0" tint="-0.499984740745262"/>
      </top>
      <bottom style="medium">
        <color indexed="64"/>
      </bottom>
      <diagonal/>
    </border>
    <border>
      <left style="medium">
        <color theme="0" tint="-0.499984740745262"/>
      </left>
      <right style="medium">
        <color indexed="64"/>
      </right>
      <top style="medium">
        <color theme="0" tint="-0.499984740745262"/>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style="medium">
        <color indexed="64"/>
      </left>
      <right style="thin">
        <color indexed="8"/>
      </right>
      <top style="thin">
        <color indexed="8"/>
      </top>
      <bottom style="thin">
        <color indexed="23"/>
      </bottom>
      <diagonal/>
    </border>
    <border>
      <left style="medium">
        <color indexed="64"/>
      </left>
      <right style="thin">
        <color indexed="8"/>
      </right>
      <top style="thin">
        <color indexed="23"/>
      </top>
      <bottom style="thin">
        <color indexed="8"/>
      </bottom>
      <diagonal/>
    </border>
    <border>
      <left style="medium">
        <color indexed="64"/>
      </left>
      <right style="thin">
        <color indexed="8"/>
      </right>
      <top style="thin">
        <color indexed="8"/>
      </top>
      <bottom/>
      <diagonal/>
    </border>
    <border>
      <left style="medium">
        <color indexed="64"/>
      </left>
      <right style="thin">
        <color indexed="8"/>
      </right>
      <top/>
      <bottom/>
      <diagonal/>
    </border>
    <border>
      <left/>
      <right style="medium">
        <color rgb="FF00B050"/>
      </right>
      <top/>
      <bottom/>
      <diagonal/>
    </border>
    <border>
      <left/>
      <right/>
      <top/>
      <bottom style="thin">
        <color indexed="23"/>
      </bottom>
      <diagonal/>
    </border>
    <border>
      <left style="thick">
        <color indexed="8"/>
      </left>
      <right style="thin">
        <color indexed="23"/>
      </right>
      <top style="thin">
        <color indexed="8"/>
      </top>
      <bottom style="thin">
        <color indexed="8"/>
      </bottom>
      <diagonal/>
    </border>
    <border>
      <left style="thick">
        <color indexed="8"/>
      </left>
      <right style="thin">
        <color indexed="23"/>
      </right>
      <top/>
      <bottom style="thin">
        <color indexed="23"/>
      </bottom>
      <diagonal/>
    </border>
    <border>
      <left style="thick">
        <color indexed="8"/>
      </left>
      <right style="thin">
        <color indexed="23"/>
      </right>
      <top style="thin">
        <color indexed="23"/>
      </top>
      <bottom style="thin">
        <color indexed="23"/>
      </bottom>
      <diagonal/>
    </border>
    <border>
      <left style="thin">
        <color indexed="63"/>
      </left>
      <right/>
      <top style="thin">
        <color indexed="8"/>
      </top>
      <bottom style="thin">
        <color indexed="8"/>
      </bottom>
      <diagonal/>
    </border>
    <border>
      <left style="thin">
        <color indexed="63"/>
      </left>
      <right/>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23"/>
      </top>
      <bottom style="thin">
        <color indexed="64"/>
      </bottom>
      <diagonal/>
    </border>
    <border>
      <left style="thin">
        <color indexed="63"/>
      </left>
      <right style="thin">
        <color indexed="63"/>
      </right>
      <top style="thin">
        <color indexed="55"/>
      </top>
      <bottom/>
      <diagonal/>
    </border>
    <border>
      <left/>
      <right style="medium">
        <color indexed="64"/>
      </right>
      <top style="medium">
        <color indexed="64"/>
      </top>
      <bottom style="thin">
        <color indexed="8"/>
      </bottom>
      <diagonal/>
    </border>
    <border>
      <left style="thin">
        <color indexed="8"/>
      </left>
      <right style="medium">
        <color indexed="64"/>
      </right>
      <top style="thin">
        <color indexed="8"/>
      </top>
      <bottom style="thin">
        <color indexed="23"/>
      </bottom>
      <diagonal/>
    </border>
    <border>
      <left style="thin">
        <color indexed="8"/>
      </left>
      <right style="medium">
        <color indexed="64"/>
      </right>
      <top style="thin">
        <color indexed="23"/>
      </top>
      <bottom style="thin">
        <color indexed="8"/>
      </bottom>
      <diagonal/>
    </border>
    <border>
      <left style="thin">
        <color indexed="8"/>
      </left>
      <right style="medium">
        <color indexed="64"/>
      </right>
      <top style="thin">
        <color indexed="8"/>
      </top>
      <bottom/>
      <diagonal/>
    </border>
    <border>
      <left style="thin">
        <color indexed="8"/>
      </left>
      <right style="medium">
        <color indexed="64"/>
      </right>
      <top/>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style="medium">
        <color indexed="64"/>
      </bottom>
      <diagonal/>
    </border>
    <border>
      <left style="thin">
        <color indexed="64"/>
      </left>
      <right/>
      <top/>
      <bottom style="thin">
        <color indexed="8"/>
      </bottom>
      <diagonal/>
    </border>
    <border>
      <left/>
      <right style="thin">
        <color indexed="64"/>
      </right>
      <top/>
      <bottom style="thin">
        <color indexed="8"/>
      </bottom>
      <diagonal/>
    </border>
    <border>
      <left style="thin">
        <color indexed="64"/>
      </left>
      <right style="thin">
        <color indexed="64"/>
      </right>
      <top/>
      <bottom style="thin">
        <color indexed="64"/>
      </bottom>
      <diagonal/>
    </border>
    <border>
      <left style="thin">
        <color indexed="64"/>
      </left>
      <right/>
      <top style="thin">
        <color indexed="64"/>
      </top>
      <bottom style="thin">
        <color indexed="8"/>
      </bottom>
      <diagonal/>
    </border>
    <border>
      <left style="thin">
        <color indexed="64"/>
      </left>
      <right/>
      <top style="thin">
        <color indexed="8"/>
      </top>
      <bottom style="medium">
        <color theme="8" tint="0.79998168889431442"/>
      </bottom>
      <diagonal/>
    </border>
    <border>
      <left/>
      <right/>
      <top style="thin">
        <color indexed="8"/>
      </top>
      <bottom style="medium">
        <color theme="8" tint="0.79998168889431442"/>
      </bottom>
      <diagonal/>
    </border>
    <border>
      <left/>
      <right style="thin">
        <color indexed="64"/>
      </right>
      <top style="thin">
        <color indexed="8"/>
      </top>
      <bottom style="medium">
        <color theme="8" tint="0.79998168889431442"/>
      </bottom>
      <diagonal/>
    </border>
    <border>
      <left style="thin">
        <color indexed="64"/>
      </left>
      <right/>
      <top style="medium">
        <color theme="8" tint="0.79998168889431442"/>
      </top>
      <bottom style="medium">
        <color theme="8" tint="0.79998168889431442"/>
      </bottom>
      <diagonal/>
    </border>
    <border>
      <left/>
      <right/>
      <top style="medium">
        <color theme="8" tint="0.79998168889431442"/>
      </top>
      <bottom style="medium">
        <color theme="8" tint="0.79998168889431442"/>
      </bottom>
      <diagonal/>
    </border>
    <border>
      <left/>
      <right style="thin">
        <color indexed="64"/>
      </right>
      <top style="medium">
        <color theme="8" tint="0.79998168889431442"/>
      </top>
      <bottom style="medium">
        <color theme="8" tint="0.79998168889431442"/>
      </bottom>
      <diagonal/>
    </border>
    <border>
      <left style="thin">
        <color indexed="64"/>
      </left>
      <right/>
      <top style="medium">
        <color theme="8" tint="0.79998168889431442"/>
      </top>
      <bottom style="thin">
        <color auto="1"/>
      </bottom>
      <diagonal/>
    </border>
    <border>
      <left/>
      <right/>
      <top style="medium">
        <color theme="8" tint="0.79998168889431442"/>
      </top>
      <bottom style="thin">
        <color auto="1"/>
      </bottom>
      <diagonal/>
    </border>
    <border>
      <left/>
      <right style="thin">
        <color indexed="64"/>
      </right>
      <top style="medium">
        <color theme="8" tint="0.79998168889431442"/>
      </top>
      <bottom style="thin">
        <color auto="1"/>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8"/>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8"/>
      </top>
      <bottom/>
      <diagonal/>
    </border>
    <border>
      <left style="medium">
        <color indexed="64"/>
      </left>
      <right/>
      <top style="thin">
        <color indexed="23"/>
      </top>
      <bottom style="thin">
        <color indexed="8"/>
      </bottom>
      <diagonal/>
    </border>
    <border>
      <left style="thin">
        <color indexed="8"/>
      </left>
      <right style="thin">
        <color indexed="8"/>
      </right>
      <top style="thin">
        <color indexed="8"/>
      </top>
      <bottom style="medium">
        <color indexed="64"/>
      </bottom>
      <diagonal/>
    </border>
    <border>
      <left style="thin">
        <color indexed="64"/>
      </left>
      <right style="thin">
        <color indexed="64"/>
      </right>
      <top/>
      <bottom style="thin">
        <color indexed="8"/>
      </bottom>
      <diagonal/>
    </border>
    <border>
      <left style="medium">
        <color indexed="64"/>
      </left>
      <right/>
      <top style="medium">
        <color indexed="64"/>
      </top>
      <bottom style="medium">
        <color theme="0" tint="-0.499984740745262"/>
      </bottom>
      <diagonal/>
    </border>
    <border>
      <left/>
      <right/>
      <top style="medium">
        <color indexed="64"/>
      </top>
      <bottom style="medium">
        <color theme="0" tint="-0.499984740745262"/>
      </bottom>
      <diagonal/>
    </border>
    <border>
      <left/>
      <right style="medium">
        <color indexed="64"/>
      </right>
      <top style="medium">
        <color indexed="64"/>
      </top>
      <bottom style="medium">
        <color theme="0" tint="-0.499984740745262"/>
      </bottom>
      <diagonal/>
    </border>
    <border>
      <left style="thick">
        <color rgb="FF00B0F0"/>
      </left>
      <right style="thick">
        <color rgb="FF00B0F0"/>
      </right>
      <top style="thick">
        <color rgb="FF00B0F0"/>
      </top>
      <bottom style="thick">
        <color rgb="FF00B0F0"/>
      </bottom>
      <diagonal/>
    </border>
    <border>
      <left style="thick">
        <color rgb="FF00B0F0"/>
      </left>
      <right/>
      <top style="thick">
        <color rgb="FF00B0F0"/>
      </top>
      <bottom style="thick">
        <color rgb="FF00B0F0"/>
      </bottom>
      <diagonal/>
    </border>
    <border>
      <left/>
      <right/>
      <top style="thick">
        <color rgb="FF00B0F0"/>
      </top>
      <bottom style="thick">
        <color rgb="FF00B0F0"/>
      </bottom>
      <diagonal/>
    </border>
    <border>
      <left/>
      <right style="thick">
        <color rgb="FF00B0F0"/>
      </right>
      <top style="thick">
        <color rgb="FF00B0F0"/>
      </top>
      <bottom style="thick">
        <color rgb="FF00B0F0"/>
      </bottom>
      <diagonal/>
    </border>
    <border>
      <left style="thick">
        <color theme="3" tint="0.39994506668294322"/>
      </left>
      <right/>
      <top style="thick">
        <color theme="3" tint="0.39994506668294322"/>
      </top>
      <bottom style="thick">
        <color theme="3" tint="0.39994506668294322"/>
      </bottom>
      <diagonal/>
    </border>
    <border>
      <left/>
      <right style="thick">
        <color theme="3" tint="0.39994506668294322"/>
      </right>
      <top style="thick">
        <color theme="3" tint="0.39994506668294322"/>
      </top>
      <bottom style="thick">
        <color theme="3" tint="0.39994506668294322"/>
      </bottom>
      <diagonal/>
    </border>
    <border>
      <left/>
      <right/>
      <top style="thick">
        <color theme="0" tint="-4.9989318521683403E-2"/>
      </top>
      <bottom/>
      <diagonal/>
    </border>
    <border>
      <left/>
      <right/>
      <top style="thick">
        <color theme="6" tint="0.79998168889431442"/>
      </top>
      <bottom/>
      <diagonal/>
    </border>
    <border>
      <left/>
      <right/>
      <top style="thin">
        <color indexed="64"/>
      </top>
      <bottom style="thick">
        <color auto="1"/>
      </bottom>
      <diagonal/>
    </border>
    <border>
      <left/>
      <right/>
      <top style="thick">
        <color rgb="FFC1F0C8"/>
      </top>
      <bottom style="thick">
        <color rgb="FFF2F2F2"/>
      </bottom>
      <diagonal/>
    </border>
    <border>
      <left/>
      <right/>
      <top/>
      <bottom style="thick">
        <color rgb="FFF2F2F2"/>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11" fillId="0" borderId="0"/>
    <xf numFmtId="44" fontId="111" fillId="0" borderId="0" applyFont="0" applyFill="0" applyBorder="0" applyAlignment="0" applyProtection="0"/>
  </cellStyleXfs>
  <cellXfs count="944">
    <xf numFmtId="0" fontId="0" fillId="0" borderId="0" xfId="0"/>
    <xf numFmtId="0" fontId="8" fillId="0" borderId="0" xfId="0" applyFont="1"/>
    <xf numFmtId="0" fontId="9" fillId="0" borderId="0" xfId="0" applyFont="1"/>
    <xf numFmtId="0" fontId="13" fillId="0" borderId="0" xfId="0" applyFont="1"/>
    <xf numFmtId="0" fontId="9" fillId="2" borderId="0" xfId="0" applyFont="1" applyFill="1"/>
    <xf numFmtId="0" fontId="9" fillId="2" borderId="57" xfId="0" applyFont="1" applyFill="1" applyBorder="1"/>
    <xf numFmtId="0" fontId="9" fillId="2" borderId="58" xfId="0" applyFont="1" applyFill="1" applyBorder="1"/>
    <xf numFmtId="0" fontId="9" fillId="2" borderId="61" xfId="0" applyFont="1" applyFill="1" applyBorder="1"/>
    <xf numFmtId="0" fontId="9" fillId="2" borderId="62" xfId="0" applyFont="1" applyFill="1" applyBorder="1"/>
    <xf numFmtId="0" fontId="9" fillId="2" borderId="63" xfId="0" applyFont="1" applyFill="1" applyBorder="1"/>
    <xf numFmtId="0" fontId="12" fillId="2" borderId="57" xfId="0" applyFont="1" applyFill="1" applyBorder="1"/>
    <xf numFmtId="0" fontId="12" fillId="2" borderId="76" xfId="0" applyFont="1" applyFill="1" applyBorder="1" applyAlignment="1">
      <alignment horizontal="center"/>
    </xf>
    <xf numFmtId="0" fontId="12" fillId="2" borderId="58" xfId="0" applyFont="1" applyFill="1" applyBorder="1"/>
    <xf numFmtId="0" fontId="12" fillId="2" borderId="94" xfId="0" applyFont="1" applyFill="1" applyBorder="1"/>
    <xf numFmtId="0" fontId="12" fillId="2" borderId="0" xfId="0" applyFont="1" applyFill="1"/>
    <xf numFmtId="0" fontId="12" fillId="2" borderId="0" xfId="0" applyFont="1" applyFill="1" applyAlignment="1">
      <alignment wrapText="1"/>
    </xf>
    <xf numFmtId="0" fontId="12" fillId="2" borderId="52" xfId="0" applyFont="1" applyFill="1" applyBorder="1"/>
    <xf numFmtId="0" fontId="12" fillId="2" borderId="77" xfId="0" applyFont="1" applyFill="1" applyBorder="1"/>
    <xf numFmtId="0" fontId="12" fillId="0" borderId="76" xfId="0" applyFont="1" applyBorder="1"/>
    <xf numFmtId="0" fontId="12" fillId="2" borderId="76" xfId="0" applyFont="1" applyFill="1" applyBorder="1"/>
    <xf numFmtId="0" fontId="12" fillId="2" borderId="0" xfId="0" applyFont="1" applyFill="1" applyAlignment="1">
      <alignment horizontal="center"/>
    </xf>
    <xf numFmtId="0" fontId="16" fillId="0" borderId="0" xfId="0" applyFont="1"/>
    <xf numFmtId="0" fontId="17" fillId="0" borderId="0" xfId="0" applyFont="1"/>
    <xf numFmtId="0" fontId="18" fillId="0" borderId="0" xfId="0" applyFont="1"/>
    <xf numFmtId="0" fontId="19" fillId="0" borderId="118" xfId="0" applyFont="1" applyBorder="1" applyAlignment="1">
      <alignment horizontal="center" vertical="center"/>
    </xf>
    <xf numFmtId="0" fontId="19" fillId="0" borderId="119" xfId="0" applyFont="1" applyBorder="1" applyAlignment="1">
      <alignment horizontal="center" vertical="center"/>
    </xf>
    <xf numFmtId="0" fontId="19" fillId="10" borderId="120" xfId="0" applyFont="1" applyFill="1" applyBorder="1" applyAlignment="1">
      <alignment horizontal="center" vertical="center"/>
    </xf>
    <xf numFmtId="0" fontId="16" fillId="0" borderId="0" xfId="0" applyFont="1" applyAlignment="1">
      <alignment vertical="center"/>
    </xf>
    <xf numFmtId="0" fontId="16" fillId="0" borderId="95" xfId="0" applyFont="1" applyBorder="1" applyAlignment="1">
      <alignment horizontal="right" vertical="center"/>
    </xf>
    <xf numFmtId="0" fontId="16" fillId="0" borderId="56" xfId="0" applyFont="1" applyBorder="1" applyAlignment="1">
      <alignment horizontal="center" vertical="center"/>
    </xf>
    <xf numFmtId="0" fontId="16" fillId="0" borderId="96" xfId="0" applyFont="1" applyBorder="1" applyAlignment="1">
      <alignment vertical="center"/>
    </xf>
    <xf numFmtId="165" fontId="19" fillId="10" borderId="118" xfId="0" applyNumberFormat="1" applyFont="1" applyFill="1" applyBorder="1" applyAlignment="1">
      <alignment horizontal="center" vertical="center"/>
    </xf>
    <xf numFmtId="170" fontId="19" fillId="0" borderId="119" xfId="0" applyNumberFormat="1" applyFont="1" applyBorder="1" applyAlignment="1">
      <alignment horizontal="center" vertical="center"/>
    </xf>
    <xf numFmtId="0" fontId="16" fillId="0" borderId="57" xfId="0" applyFont="1" applyBorder="1" applyAlignment="1">
      <alignment vertical="center"/>
    </xf>
    <xf numFmtId="0" fontId="16" fillId="0" borderId="58" xfId="0" applyFont="1" applyBorder="1" applyAlignment="1">
      <alignment vertical="center"/>
    </xf>
    <xf numFmtId="0" fontId="16" fillId="0" borderId="61" xfId="0" applyFont="1" applyBorder="1" applyAlignment="1">
      <alignment vertical="center"/>
    </xf>
    <xf numFmtId="0" fontId="16" fillId="0" borderId="62" xfId="0" applyFont="1" applyBorder="1" applyAlignment="1">
      <alignment vertical="center"/>
    </xf>
    <xf numFmtId="0" fontId="16" fillId="0" borderId="63" xfId="0" applyFont="1" applyBorder="1" applyAlignment="1">
      <alignment vertical="center"/>
    </xf>
    <xf numFmtId="0" fontId="16" fillId="0" borderId="0" xfId="0" applyFont="1" applyAlignment="1">
      <alignment horizontal="center" vertical="center" wrapText="1"/>
    </xf>
    <xf numFmtId="165" fontId="19" fillId="10" borderId="121" xfId="0" applyNumberFormat="1" applyFont="1" applyFill="1" applyBorder="1" applyAlignment="1">
      <alignment horizontal="center" vertical="center"/>
    </xf>
    <xf numFmtId="170" fontId="19" fillId="0" borderId="122" xfId="0" applyNumberFormat="1" applyFont="1" applyBorder="1" applyAlignment="1">
      <alignment horizontal="center" vertical="center"/>
    </xf>
    <xf numFmtId="0" fontId="19" fillId="10" borderId="123" xfId="0" applyFont="1" applyFill="1" applyBorder="1" applyAlignment="1">
      <alignment horizontal="center" vertical="center"/>
    </xf>
    <xf numFmtId="0" fontId="20" fillId="0" borderId="0" xfId="0" applyFont="1"/>
    <xf numFmtId="165" fontId="19" fillId="10" borderId="101" xfId="0" applyNumberFormat="1" applyFont="1" applyFill="1" applyBorder="1" applyAlignment="1">
      <alignment horizontal="center" vertical="center"/>
    </xf>
    <xf numFmtId="170" fontId="19" fillId="0" borderId="101" xfId="0" applyNumberFormat="1" applyFont="1" applyBorder="1" applyAlignment="1">
      <alignment horizontal="center" vertical="center"/>
    </xf>
    <xf numFmtId="0" fontId="19" fillId="9" borderId="101" xfId="0" applyFont="1" applyFill="1" applyBorder="1" applyAlignment="1" applyProtection="1">
      <alignment horizontal="center" vertical="center"/>
      <protection locked="0"/>
    </xf>
    <xf numFmtId="0" fontId="19" fillId="10" borderId="101" xfId="0" applyFont="1" applyFill="1" applyBorder="1" applyAlignment="1">
      <alignment horizontal="center" vertical="center"/>
    </xf>
    <xf numFmtId="0" fontId="1" fillId="0" borderId="0" xfId="0" applyFont="1"/>
    <xf numFmtId="9" fontId="0" fillId="0" borderId="0" xfId="0" applyNumberFormat="1"/>
    <xf numFmtId="0" fontId="1" fillId="0" borderId="0" xfId="0" applyFont="1" applyAlignment="1">
      <alignment wrapText="1"/>
    </xf>
    <xf numFmtId="0" fontId="0" fillId="0" borderId="0" xfId="0" applyAlignment="1">
      <alignment wrapText="1"/>
    </xf>
    <xf numFmtId="10" fontId="0" fillId="0" borderId="0" xfId="0" applyNumberFormat="1"/>
    <xf numFmtId="0" fontId="13" fillId="17" borderId="0" xfId="0" applyFont="1" applyFill="1" applyAlignment="1">
      <alignment wrapText="1"/>
    </xf>
    <xf numFmtId="0" fontId="13" fillId="18" borderId="0" xfId="0" applyFont="1" applyFill="1" applyAlignment="1">
      <alignment wrapText="1"/>
    </xf>
    <xf numFmtId="0" fontId="22" fillId="0" borderId="0" xfId="0" applyFont="1" applyAlignment="1">
      <alignment vertical="center"/>
    </xf>
    <xf numFmtId="173" fontId="0" fillId="0" borderId="0" xfId="1" applyNumberFormat="1" applyFont="1" applyAlignment="1">
      <alignment wrapText="1"/>
    </xf>
    <xf numFmtId="0" fontId="13" fillId="20" borderId="0" xfId="0" applyFont="1" applyFill="1" applyAlignment="1">
      <alignment wrapText="1"/>
    </xf>
    <xf numFmtId="0" fontId="13" fillId="21" borderId="0" xfId="0" applyFont="1" applyFill="1" applyAlignment="1">
      <alignment wrapText="1"/>
    </xf>
    <xf numFmtId="0" fontId="0" fillId="21" borderId="0" xfId="0" applyFill="1" applyAlignment="1">
      <alignment wrapText="1"/>
    </xf>
    <xf numFmtId="173" fontId="0" fillId="0" borderId="0" xfId="0" applyNumberFormat="1" applyAlignment="1">
      <alignment wrapText="1"/>
    </xf>
    <xf numFmtId="0" fontId="24" fillId="0" borderId="0" xfId="0" applyFont="1" applyAlignment="1">
      <alignment vertical="center"/>
    </xf>
    <xf numFmtId="0" fontId="23" fillId="0" borderId="16" xfId="0" applyFont="1" applyBorder="1" applyAlignment="1">
      <alignment horizontal="center" vertical="center"/>
    </xf>
    <xf numFmtId="0" fontId="23" fillId="0" borderId="17" xfId="0" applyFont="1" applyBorder="1" applyAlignment="1">
      <alignment horizontal="center" vertical="center"/>
    </xf>
    <xf numFmtId="0" fontId="27" fillId="0" borderId="0" xfId="0" applyFont="1" applyAlignment="1">
      <alignment vertical="center"/>
    </xf>
    <xf numFmtId="0" fontId="28" fillId="0" borderId="0" xfId="0" applyFont="1" applyAlignment="1">
      <alignment vertical="center"/>
    </xf>
    <xf numFmtId="165" fontId="25" fillId="24" borderId="14" xfId="0" applyNumberFormat="1" applyFont="1" applyFill="1" applyBorder="1" applyAlignment="1">
      <alignment horizontal="center" vertical="center"/>
    </xf>
    <xf numFmtId="0" fontId="28" fillId="24" borderId="2" xfId="0" applyFont="1" applyFill="1" applyBorder="1" applyAlignment="1">
      <alignment horizontal="center" vertical="center"/>
    </xf>
    <xf numFmtId="165" fontId="25" fillId="24" borderId="12" xfId="0" applyNumberFormat="1" applyFont="1" applyFill="1" applyBorder="1" applyAlignment="1">
      <alignment horizontal="center" vertical="center"/>
    </xf>
    <xf numFmtId="0" fontId="28" fillId="0" borderId="0" xfId="0" applyFont="1" applyAlignment="1">
      <alignment horizontal="center" vertical="center"/>
    </xf>
    <xf numFmtId="165" fontId="25" fillId="24" borderId="13" xfId="0" applyNumberFormat="1" applyFont="1" applyFill="1" applyBorder="1" applyAlignment="1">
      <alignment horizontal="center" vertical="center"/>
    </xf>
    <xf numFmtId="0" fontId="24" fillId="0" borderId="0" xfId="0" applyFont="1"/>
    <xf numFmtId="0" fontId="30" fillId="0" borderId="0" xfId="0" applyFont="1" applyAlignment="1">
      <alignment vertical="center"/>
    </xf>
    <xf numFmtId="0" fontId="31" fillId="0" borderId="0" xfId="0" applyFont="1" applyAlignment="1">
      <alignment horizontal="center" vertical="center" wrapText="1"/>
    </xf>
    <xf numFmtId="0" fontId="32" fillId="0" borderId="0" xfId="0" applyFont="1" applyAlignment="1">
      <alignment horizontal="center" vertical="center"/>
    </xf>
    <xf numFmtId="0" fontId="24" fillId="0" borderId="0" xfId="0" applyFont="1" applyAlignment="1">
      <alignment horizontal="center" vertical="center" shrinkToFit="1"/>
    </xf>
    <xf numFmtId="0" fontId="28" fillId="0" borderId="0" xfId="0" applyFont="1" applyAlignment="1">
      <alignment horizontal="center" vertical="center" wrapText="1"/>
    </xf>
    <xf numFmtId="0" fontId="24" fillId="0" borderId="0" xfId="0" applyFont="1" applyAlignment="1">
      <alignment horizontal="left" vertical="center"/>
    </xf>
    <xf numFmtId="6" fontId="24" fillId="0" borderId="0" xfId="0" applyNumberFormat="1" applyFont="1" applyAlignment="1">
      <alignment horizontal="center" vertical="center"/>
    </xf>
    <xf numFmtId="0" fontId="24" fillId="0" borderId="0" xfId="0" applyFont="1" applyAlignment="1">
      <alignment horizontal="center" vertical="center"/>
    </xf>
    <xf numFmtId="38" fontId="24" fillId="0" borderId="0" xfId="0" applyNumberFormat="1" applyFont="1" applyAlignment="1">
      <alignment horizontal="center" vertical="center"/>
    </xf>
    <xf numFmtId="2" fontId="24" fillId="0" borderId="0" xfId="0" applyNumberFormat="1" applyFont="1" applyAlignment="1">
      <alignment horizontal="center" vertical="center"/>
    </xf>
    <xf numFmtId="8" fontId="24" fillId="0" borderId="0" xfId="0" applyNumberFormat="1" applyFont="1" applyAlignment="1">
      <alignment horizontal="center" vertical="center"/>
    </xf>
    <xf numFmtId="9" fontId="24" fillId="0" borderId="0" xfId="0" applyNumberFormat="1" applyFont="1" applyAlignment="1">
      <alignment vertical="center"/>
    </xf>
    <xf numFmtId="168" fontId="24" fillId="0" borderId="0" xfId="0" applyNumberFormat="1" applyFont="1" applyAlignment="1">
      <alignment vertical="center"/>
    </xf>
    <xf numFmtId="6" fontId="24" fillId="0" borderId="0" xfId="0" applyNumberFormat="1" applyFont="1" applyAlignment="1">
      <alignment vertical="center"/>
    </xf>
    <xf numFmtId="0" fontId="19" fillId="0" borderId="4" xfId="0" applyFont="1" applyBorder="1" applyAlignment="1">
      <alignment horizontal="center" vertical="center"/>
    </xf>
    <xf numFmtId="164" fontId="19" fillId="23" borderId="3" xfId="0" applyNumberFormat="1" applyFont="1" applyFill="1" applyBorder="1" applyAlignment="1">
      <alignment horizontal="center" vertical="center"/>
    </xf>
    <xf numFmtId="164" fontId="19" fillId="13" borderId="3" xfId="0" applyNumberFormat="1" applyFont="1" applyFill="1" applyBorder="1" applyAlignment="1">
      <alignment horizontal="center" vertical="center"/>
    </xf>
    <xf numFmtId="0" fontId="23" fillId="0" borderId="144" xfId="0" applyFont="1" applyBorder="1" applyAlignment="1">
      <alignment horizontal="center" vertical="center"/>
    </xf>
    <xf numFmtId="0" fontId="28" fillId="24" borderId="145" xfId="0" applyFont="1" applyFill="1" applyBorder="1" applyAlignment="1">
      <alignment horizontal="center" vertical="center"/>
    </xf>
    <xf numFmtId="0" fontId="29" fillId="0" borderId="144" xfId="0" applyFont="1" applyBorder="1" applyAlignment="1">
      <alignment horizontal="center" vertical="center" wrapText="1"/>
    </xf>
    <xf numFmtId="0" fontId="29" fillId="0" borderId="93" xfId="0" applyFont="1" applyBorder="1" applyAlignment="1">
      <alignment horizontal="center" vertical="center" wrapText="1"/>
    </xf>
    <xf numFmtId="0" fontId="35" fillId="0" borderId="0" xfId="0" applyFont="1"/>
    <xf numFmtId="0" fontId="44" fillId="0" borderId="0" xfId="0" applyFont="1"/>
    <xf numFmtId="0" fontId="44" fillId="0" borderId="0" xfId="0" applyFont="1" applyAlignment="1">
      <alignment horizontal="center"/>
    </xf>
    <xf numFmtId="0" fontId="13" fillId="0" borderId="77" xfId="0" applyFont="1" applyBorder="1"/>
    <xf numFmtId="164" fontId="0" fillId="0" borderId="0" xfId="0" applyNumberFormat="1"/>
    <xf numFmtId="164" fontId="0" fillId="0" borderId="77" xfId="0" applyNumberFormat="1" applyBorder="1"/>
    <xf numFmtId="0" fontId="35" fillId="0" borderId="0" xfId="0" applyFont="1" applyProtection="1">
      <protection hidden="1"/>
    </xf>
    <xf numFmtId="0" fontId="36" fillId="0" borderId="0" xfId="0" applyFont="1" applyProtection="1">
      <protection hidden="1"/>
    </xf>
    <xf numFmtId="164" fontId="35" fillId="2" borderId="0" xfId="0" applyNumberFormat="1" applyFont="1" applyFill="1" applyAlignment="1" applyProtection="1">
      <alignment horizontal="center"/>
      <protection hidden="1"/>
    </xf>
    <xf numFmtId="0" fontId="35" fillId="2" borderId="0" xfId="0" applyFont="1" applyFill="1" applyProtection="1">
      <protection hidden="1"/>
    </xf>
    <xf numFmtId="3" fontId="35" fillId="0" borderId="0" xfId="0" applyNumberFormat="1" applyFont="1" applyProtection="1">
      <protection hidden="1"/>
    </xf>
    <xf numFmtId="0" fontId="69" fillId="2" borderId="0" xfId="0" applyFont="1" applyFill="1" applyAlignment="1" applyProtection="1">
      <alignment horizontal="center"/>
      <protection hidden="1"/>
    </xf>
    <xf numFmtId="0" fontId="19" fillId="12" borderId="5" xfId="0" applyFont="1" applyFill="1" applyBorder="1" applyAlignment="1">
      <alignment horizontal="center" vertical="center"/>
    </xf>
    <xf numFmtId="10" fontId="19" fillId="12" borderId="5" xfId="3" applyNumberFormat="1" applyFont="1" applyFill="1" applyBorder="1" applyAlignment="1">
      <alignment horizontal="center" vertical="center"/>
    </xf>
    <xf numFmtId="2" fontId="19" fillId="12" borderId="9" xfId="0" applyNumberFormat="1" applyFont="1" applyFill="1" applyBorder="1" applyAlignment="1">
      <alignment horizontal="right" vertical="center" shrinkToFit="1"/>
    </xf>
    <xf numFmtId="2" fontId="19" fillId="12" borderId="10" xfId="0" applyNumberFormat="1" applyFont="1" applyFill="1" applyBorder="1" applyAlignment="1">
      <alignment horizontal="center" vertical="center" shrinkToFit="1"/>
    </xf>
    <xf numFmtId="0" fontId="19" fillId="12" borderId="11" xfId="0" applyFont="1" applyFill="1" applyBorder="1" applyAlignment="1">
      <alignment horizontal="left" vertical="center"/>
    </xf>
    <xf numFmtId="0" fontId="70" fillId="2" borderId="0" xfId="0" applyFont="1" applyFill="1" applyProtection="1">
      <protection locked="0"/>
    </xf>
    <xf numFmtId="0" fontId="35" fillId="0" borderId="0" xfId="0" applyFont="1" applyProtection="1">
      <protection locked="0"/>
    </xf>
    <xf numFmtId="0" fontId="70" fillId="2" borderId="0" xfId="0" applyFont="1" applyFill="1"/>
    <xf numFmtId="0" fontId="73" fillId="0" borderId="0" xfId="0" applyFont="1" applyAlignment="1">
      <alignment horizontal="center" vertical="center"/>
    </xf>
    <xf numFmtId="0" fontId="72" fillId="0" borderId="102" xfId="0" applyFont="1" applyBorder="1" applyAlignment="1" applyProtection="1">
      <alignment horizontal="center" vertical="center"/>
      <protection locked="0"/>
    </xf>
    <xf numFmtId="0" fontId="72" fillId="0" borderId="0" xfId="0" applyFont="1" applyAlignment="1" applyProtection="1">
      <alignment horizontal="center" vertical="center"/>
      <protection locked="0"/>
    </xf>
    <xf numFmtId="0" fontId="72" fillId="0" borderId="103" xfId="0" applyFont="1" applyBorder="1" applyAlignment="1" applyProtection="1">
      <alignment horizontal="center" vertical="center"/>
      <protection locked="0"/>
    </xf>
    <xf numFmtId="0" fontId="72" fillId="0" borderId="104" xfId="0" applyFont="1" applyBorder="1" applyAlignment="1" applyProtection="1">
      <alignment horizontal="center" vertical="center"/>
      <protection locked="0"/>
    </xf>
    <xf numFmtId="0" fontId="74" fillId="5" borderId="102" xfId="0" applyFont="1" applyFill="1" applyBorder="1" applyAlignment="1" applyProtection="1">
      <alignment horizontal="center" vertical="center" textRotation="180" wrapText="1"/>
      <protection locked="0"/>
    </xf>
    <xf numFmtId="0" fontId="34" fillId="5" borderId="0" xfId="0" applyFont="1" applyFill="1" applyAlignment="1" applyProtection="1">
      <alignment horizontal="center" vertical="center" textRotation="180" wrapText="1"/>
      <protection locked="0"/>
    </xf>
    <xf numFmtId="0" fontId="62" fillId="5" borderId="0" xfId="0" applyFont="1" applyFill="1" applyAlignment="1" applyProtection="1">
      <alignment horizontal="left" vertical="center" wrapText="1"/>
      <protection locked="0"/>
    </xf>
    <xf numFmtId="0" fontId="75" fillId="5" borderId="0" xfId="0" applyFont="1" applyFill="1" applyAlignment="1" applyProtection="1">
      <alignment horizontal="center" vertical="center" wrapText="1"/>
      <protection locked="0"/>
    </xf>
    <xf numFmtId="0" fontId="76" fillId="5" borderId="0" xfId="0" applyFont="1" applyFill="1" applyAlignment="1" applyProtection="1">
      <alignment horizontal="center" vertical="center" wrapText="1"/>
      <protection locked="0"/>
    </xf>
    <xf numFmtId="0" fontId="77" fillId="5" borderId="0" xfId="0" applyFont="1" applyFill="1" applyAlignment="1" applyProtection="1">
      <alignment horizontal="center" vertical="center"/>
      <protection locked="0"/>
    </xf>
    <xf numFmtId="0" fontId="35" fillId="5" borderId="0" xfId="0" applyFont="1" applyFill="1" applyProtection="1">
      <protection locked="0"/>
    </xf>
    <xf numFmtId="0" fontId="74" fillId="5" borderId="0" xfId="0" applyFont="1" applyFill="1" applyAlignment="1" applyProtection="1">
      <alignment horizontal="center" vertical="center" textRotation="180" wrapText="1"/>
      <protection locked="0"/>
    </xf>
    <xf numFmtId="0" fontId="62" fillId="5" borderId="0" xfId="0" applyFont="1" applyFill="1" applyAlignment="1" applyProtection="1">
      <alignment horizontal="center" vertical="center" wrapText="1"/>
      <protection locked="0"/>
    </xf>
    <xf numFmtId="0" fontId="35" fillId="5" borderId="0" xfId="0" applyFont="1" applyFill="1"/>
    <xf numFmtId="0" fontId="62" fillId="0" borderId="105" xfId="0" applyFont="1" applyBorder="1" applyAlignment="1">
      <alignment vertical="center"/>
    </xf>
    <xf numFmtId="0" fontId="80" fillId="6" borderId="102" xfId="0" applyFont="1" applyFill="1" applyBorder="1" applyAlignment="1" applyProtection="1">
      <alignment horizontal="center"/>
      <protection locked="0"/>
    </xf>
    <xf numFmtId="0" fontId="35" fillId="6" borderId="114" xfId="0" applyFont="1" applyFill="1" applyBorder="1" applyAlignment="1" applyProtection="1">
      <alignment vertical="center" wrapText="1"/>
      <protection locked="0"/>
    </xf>
    <xf numFmtId="166" fontId="35" fillId="0" borderId="0" xfId="0" applyNumberFormat="1" applyFont="1" applyProtection="1">
      <protection locked="0"/>
    </xf>
    <xf numFmtId="164" fontId="35" fillId="0" borderId="106" xfId="0" applyNumberFormat="1" applyFont="1" applyBorder="1"/>
    <xf numFmtId="167" fontId="66" fillId="6" borderId="116" xfId="3" applyNumberFormat="1" applyFont="1" applyFill="1" applyBorder="1" applyAlignment="1" applyProtection="1">
      <alignment horizontal="center" vertical="center" wrapText="1"/>
      <protection locked="0"/>
    </xf>
    <xf numFmtId="0" fontId="35" fillId="6" borderId="116" xfId="0" applyFont="1" applyFill="1" applyBorder="1" applyAlignment="1" applyProtection="1">
      <alignment vertical="center" wrapText="1"/>
      <protection locked="0"/>
    </xf>
    <xf numFmtId="0" fontId="81" fillId="6" borderId="116" xfId="0" applyFont="1" applyFill="1" applyBorder="1" applyAlignment="1" applyProtection="1">
      <alignment horizontal="center" vertical="center"/>
      <protection locked="0"/>
    </xf>
    <xf numFmtId="164" fontId="82" fillId="6" borderId="116" xfId="2" applyNumberFormat="1" applyFont="1" applyFill="1" applyBorder="1" applyAlignment="1" applyProtection="1">
      <alignment horizontal="center"/>
      <protection locked="0"/>
    </xf>
    <xf numFmtId="0" fontId="82" fillId="6" borderId="116" xfId="0" applyFont="1" applyFill="1" applyBorder="1" applyAlignment="1" applyProtection="1">
      <alignment vertical="center" wrapText="1"/>
      <protection locked="0"/>
    </xf>
    <xf numFmtId="0" fontId="80" fillId="6" borderId="108" xfId="0" applyFont="1" applyFill="1" applyBorder="1" applyAlignment="1" applyProtection="1">
      <alignment horizontal="center"/>
      <protection locked="0"/>
    </xf>
    <xf numFmtId="167" fontId="66" fillId="6" borderId="117" xfId="3" applyNumberFormat="1" applyFont="1" applyFill="1" applyBorder="1" applyAlignment="1" applyProtection="1">
      <alignment horizontal="center" vertical="center" wrapText="1"/>
      <protection locked="0"/>
    </xf>
    <xf numFmtId="0" fontId="82" fillId="6" borderId="117" xfId="0" applyFont="1" applyFill="1" applyBorder="1" applyAlignment="1" applyProtection="1">
      <alignment vertical="center" wrapText="1"/>
      <protection locked="0"/>
    </xf>
    <xf numFmtId="0" fontId="81" fillId="6" borderId="117" xfId="0" applyFont="1" applyFill="1" applyBorder="1" applyAlignment="1" applyProtection="1">
      <alignment horizontal="center" vertical="center"/>
      <protection locked="0"/>
    </xf>
    <xf numFmtId="164" fontId="82" fillId="6" borderId="117" xfId="2" applyNumberFormat="1" applyFont="1" applyFill="1" applyBorder="1" applyAlignment="1" applyProtection="1">
      <alignment horizontal="center"/>
      <protection locked="0"/>
    </xf>
    <xf numFmtId="164" fontId="35" fillId="0" borderId="109" xfId="0" applyNumberFormat="1" applyFont="1" applyBorder="1"/>
    <xf numFmtId="0" fontId="83" fillId="0" borderId="99" xfId="0" applyFont="1" applyBorder="1" applyAlignment="1">
      <alignment horizontal="center" vertical="center"/>
    </xf>
    <xf numFmtId="164" fontId="77" fillId="6" borderId="110" xfId="0" applyNumberFormat="1" applyFont="1" applyFill="1" applyBorder="1" applyAlignment="1">
      <alignment horizontal="center"/>
    </xf>
    <xf numFmtId="0" fontId="62" fillId="2" borderId="0" xfId="0" applyFont="1" applyFill="1" applyAlignment="1">
      <alignment horizontal="right" vertical="center" wrapText="1"/>
    </xf>
    <xf numFmtId="164" fontId="77" fillId="6" borderId="110" xfId="0" applyNumberFormat="1" applyFont="1" applyFill="1" applyBorder="1" applyAlignment="1">
      <alignment horizontal="center" vertical="center"/>
    </xf>
    <xf numFmtId="0" fontId="84" fillId="4" borderId="0" xfId="0" applyFont="1" applyFill="1" applyAlignment="1">
      <alignment horizontal="right" vertical="center" wrapText="1"/>
    </xf>
    <xf numFmtId="164" fontId="77" fillId="6" borderId="0" xfId="0" applyNumberFormat="1" applyFont="1" applyFill="1" applyAlignment="1">
      <alignment horizontal="center" vertical="center"/>
    </xf>
    <xf numFmtId="164" fontId="77" fillId="6" borderId="112" xfId="0" applyNumberFormat="1" applyFont="1" applyFill="1" applyBorder="1" applyAlignment="1">
      <alignment horizontal="center" vertical="center"/>
    </xf>
    <xf numFmtId="164" fontId="62" fillId="2" borderId="0" xfId="0" applyNumberFormat="1" applyFont="1" applyFill="1"/>
    <xf numFmtId="0" fontId="86" fillId="2" borderId="0" xfId="0" applyFont="1" applyFill="1" applyAlignment="1">
      <alignment horizontal="center" vertical="center"/>
    </xf>
    <xf numFmtId="0" fontId="35" fillId="2" borderId="0" xfId="0" applyFont="1" applyFill="1" applyAlignment="1">
      <alignment vertical="center" wrapText="1"/>
    </xf>
    <xf numFmtId="0" fontId="87" fillId="2" borderId="0" xfId="0" applyFont="1" applyFill="1" applyAlignment="1">
      <alignment horizontal="center" vertical="top"/>
    </xf>
    <xf numFmtId="0" fontId="88" fillId="2" borderId="0" xfId="0" applyFont="1" applyFill="1" applyAlignment="1">
      <alignment horizontal="center" vertical="top" wrapText="1"/>
    </xf>
    <xf numFmtId="0" fontId="89" fillId="2" borderId="0" xfId="0" applyFont="1" applyFill="1" applyAlignment="1">
      <alignment horizontal="center" vertical="top"/>
    </xf>
    <xf numFmtId="0" fontId="35" fillId="2" borderId="0" xfId="0" applyFont="1" applyFill="1" applyAlignment="1">
      <alignment horizontal="left" vertical="center" wrapText="1"/>
    </xf>
    <xf numFmtId="0" fontId="35" fillId="2" borderId="0" xfId="0" applyFont="1" applyFill="1" applyAlignment="1">
      <alignment horizontal="left" wrapText="1"/>
    </xf>
    <xf numFmtId="0" fontId="35" fillId="2" borderId="0" xfId="0" applyFont="1" applyFill="1" applyAlignment="1">
      <alignment horizontal="center" vertical="top"/>
    </xf>
    <xf numFmtId="0" fontId="86" fillId="0" borderId="0" xfId="0" applyFont="1" applyAlignment="1" applyProtection="1">
      <alignment horizontal="center" vertical="center"/>
      <protection locked="0"/>
    </xf>
    <xf numFmtId="0" fontId="35" fillId="0" borderId="0" xfId="0" applyFont="1" applyAlignment="1" applyProtection="1">
      <alignment vertical="center" wrapText="1"/>
      <protection locked="0"/>
    </xf>
    <xf numFmtId="0" fontId="35" fillId="2" borderId="0" xfId="0" applyFont="1" applyFill="1" applyAlignment="1" applyProtection="1">
      <alignment horizontal="center"/>
      <protection locked="0"/>
    </xf>
    <xf numFmtId="0" fontId="89" fillId="2" borderId="0" xfId="0" applyFont="1" applyFill="1" applyProtection="1">
      <protection locked="0"/>
    </xf>
    <xf numFmtId="0" fontId="35" fillId="2" borderId="0" xfId="0" applyFont="1" applyFill="1" applyProtection="1">
      <protection locked="0"/>
    </xf>
    <xf numFmtId="0" fontId="35" fillId="0" borderId="0" xfId="0" applyFont="1" applyAlignment="1" applyProtection="1">
      <alignment horizontal="left" vertical="center" wrapText="1"/>
      <protection locked="0"/>
    </xf>
    <xf numFmtId="0" fontId="35" fillId="0" borderId="0" xfId="0" applyFont="1" applyAlignment="1" applyProtection="1">
      <alignment horizontal="center" vertical="center"/>
      <protection locked="0"/>
    </xf>
    <xf numFmtId="0" fontId="89" fillId="0" borderId="0" xfId="0" applyFont="1" applyProtection="1">
      <protection locked="0"/>
    </xf>
    <xf numFmtId="0" fontId="35" fillId="0" borderId="0" xfId="0" applyFont="1" applyAlignment="1" applyProtection="1">
      <alignment horizontal="left" wrapText="1"/>
      <protection locked="0"/>
    </xf>
    <xf numFmtId="0" fontId="35" fillId="0" borderId="0" xfId="0" applyFont="1" applyAlignment="1" applyProtection="1">
      <alignment horizontal="center"/>
      <protection locked="0"/>
    </xf>
    <xf numFmtId="0" fontId="35" fillId="0" borderId="0" xfId="0" applyFont="1" applyAlignment="1" applyProtection="1">
      <alignment vertical="center"/>
      <protection locked="0"/>
    </xf>
    <xf numFmtId="0" fontId="62" fillId="6" borderId="103" xfId="0" applyFont="1" applyFill="1" applyBorder="1" applyAlignment="1" applyProtection="1">
      <alignment horizontal="center" vertical="center" wrapText="1"/>
      <protection hidden="1"/>
    </xf>
    <xf numFmtId="9" fontId="60" fillId="6" borderId="114" xfId="3" applyFont="1" applyFill="1" applyBorder="1" applyAlignment="1" applyProtection="1">
      <alignment horizontal="center" vertical="center" wrapText="1"/>
    </xf>
    <xf numFmtId="173" fontId="60" fillId="6" borderId="114" xfId="1" applyNumberFormat="1" applyFont="1" applyFill="1" applyBorder="1" applyAlignment="1" applyProtection="1">
      <alignment horizontal="center" vertical="center"/>
    </xf>
    <xf numFmtId="164" fontId="62" fillId="6" borderId="104" xfId="0" applyNumberFormat="1" applyFont="1" applyFill="1" applyBorder="1" applyProtection="1">
      <protection hidden="1"/>
    </xf>
    <xf numFmtId="0" fontId="95" fillId="6" borderId="116" xfId="3" applyNumberFormat="1" applyFont="1" applyFill="1" applyBorder="1" applyAlignment="1" applyProtection="1">
      <alignment horizontal="center" vertical="center" wrapText="1"/>
      <protection locked="0"/>
    </xf>
    <xf numFmtId="0" fontId="95" fillId="6" borderId="114" xfId="3" applyNumberFormat="1" applyFont="1" applyFill="1" applyBorder="1" applyAlignment="1" applyProtection="1">
      <alignment horizontal="center" vertical="center" wrapText="1"/>
      <protection locked="0"/>
    </xf>
    <xf numFmtId="14" fontId="35" fillId="6" borderId="114" xfId="0" applyNumberFormat="1" applyFont="1" applyFill="1" applyBorder="1" applyAlignment="1" applyProtection="1">
      <alignment horizontal="center" vertical="center"/>
      <protection locked="0"/>
    </xf>
    <xf numFmtId="0" fontId="35" fillId="6" borderId="114" xfId="2" applyNumberFormat="1" applyFont="1" applyFill="1" applyBorder="1" applyAlignment="1" applyProtection="1">
      <alignment horizontal="center"/>
      <protection locked="0"/>
    </xf>
    <xf numFmtId="173" fontId="95" fillId="6" borderId="115" xfId="1" applyNumberFormat="1" applyFont="1" applyFill="1" applyBorder="1" applyAlignment="1" applyProtection="1">
      <alignment horizontal="center"/>
      <protection locked="0"/>
    </xf>
    <xf numFmtId="10" fontId="95" fillId="6" borderId="0" xfId="0" applyNumberFormat="1" applyFont="1" applyFill="1" applyAlignment="1" applyProtection="1">
      <alignment horizontal="center"/>
      <protection locked="0"/>
    </xf>
    <xf numFmtId="14" fontId="35" fillId="6" borderId="116" xfId="0" applyNumberFormat="1" applyFont="1" applyFill="1" applyBorder="1" applyAlignment="1" applyProtection="1">
      <alignment horizontal="center" vertical="center"/>
      <protection locked="0"/>
    </xf>
    <xf numFmtId="173" fontId="95" fillId="6" borderId="116" xfId="1" applyNumberFormat="1" applyFont="1" applyFill="1" applyBorder="1" applyAlignment="1" applyProtection="1">
      <alignment horizontal="center"/>
      <protection locked="0"/>
    </xf>
    <xf numFmtId="10" fontId="95" fillId="6" borderId="117" xfId="0" applyNumberFormat="1" applyFont="1" applyFill="1" applyBorder="1" applyAlignment="1" applyProtection="1">
      <alignment horizontal="center"/>
      <protection locked="0"/>
    </xf>
    <xf numFmtId="9" fontId="95" fillId="6" borderId="0" xfId="3" applyFont="1" applyFill="1" applyBorder="1" applyAlignment="1" applyProtection="1">
      <alignment horizontal="center" vertical="center" wrapText="1"/>
      <protection locked="0"/>
    </xf>
    <xf numFmtId="167" fontId="95" fillId="6" borderId="114" xfId="3" applyNumberFormat="1" applyFont="1" applyFill="1" applyBorder="1" applyAlignment="1" applyProtection="1">
      <alignment horizontal="center" vertical="center" wrapText="1"/>
      <protection locked="0"/>
    </xf>
    <xf numFmtId="0" fontId="35" fillId="6" borderId="114" xfId="0" applyFont="1" applyFill="1" applyBorder="1" applyAlignment="1" applyProtection="1">
      <alignment horizontal="center" vertical="center"/>
      <protection locked="0"/>
    </xf>
    <xf numFmtId="164" fontId="35" fillId="6" borderId="114" xfId="2" applyNumberFormat="1" applyFont="1" applyFill="1" applyBorder="1" applyAlignment="1" applyProtection="1">
      <alignment horizontal="center"/>
      <protection locked="0"/>
    </xf>
    <xf numFmtId="10" fontId="95" fillId="6" borderId="0" xfId="3" applyNumberFormat="1" applyFont="1" applyFill="1" applyAlignment="1" applyProtection="1">
      <alignment horizontal="center"/>
      <protection locked="0"/>
    </xf>
    <xf numFmtId="167" fontId="95" fillId="6" borderId="116" xfId="3" applyNumberFormat="1" applyFont="1" applyFill="1" applyBorder="1" applyAlignment="1" applyProtection="1">
      <alignment horizontal="center" vertical="center" wrapText="1"/>
      <protection locked="0"/>
    </xf>
    <xf numFmtId="0" fontId="35" fillId="6" borderId="116" xfId="0" applyFont="1" applyFill="1" applyBorder="1" applyAlignment="1" applyProtection="1">
      <alignment horizontal="center" vertical="center"/>
      <protection locked="0"/>
    </xf>
    <xf numFmtId="164" fontId="35" fillId="6" borderId="116" xfId="2" applyNumberFormat="1" applyFont="1" applyFill="1" applyBorder="1" applyAlignment="1" applyProtection="1">
      <alignment horizontal="center"/>
      <protection locked="0"/>
    </xf>
    <xf numFmtId="164" fontId="35" fillId="6" borderId="116" xfId="2" applyNumberFormat="1" applyFont="1" applyFill="1" applyBorder="1" applyAlignment="1" applyProtection="1">
      <alignment horizontal="center" vertical="center"/>
      <protection locked="0"/>
    </xf>
    <xf numFmtId="0" fontId="95" fillId="6" borderId="0" xfId="3" applyNumberFormat="1" applyFont="1" applyFill="1" applyBorder="1" applyAlignment="1" applyProtection="1">
      <alignment horizontal="center" vertical="center" wrapText="1"/>
      <protection locked="0"/>
    </xf>
    <xf numFmtId="9" fontId="95" fillId="6" borderId="116" xfId="3" applyFont="1" applyFill="1" applyBorder="1" applyAlignment="1" applyProtection="1">
      <alignment horizontal="center" vertical="center" wrapText="1"/>
      <protection locked="0"/>
    </xf>
    <xf numFmtId="0" fontId="95" fillId="6" borderId="107" xfId="3" applyNumberFormat="1" applyFont="1" applyFill="1" applyBorder="1" applyAlignment="1" applyProtection="1">
      <alignment horizontal="center" vertical="center" wrapText="1"/>
      <protection locked="0"/>
    </xf>
    <xf numFmtId="167" fontId="95" fillId="6" borderId="107" xfId="3" applyNumberFormat="1" applyFont="1" applyFill="1" applyBorder="1" applyAlignment="1" applyProtection="1">
      <alignment horizontal="center" vertical="center" wrapText="1"/>
      <protection locked="0"/>
    </xf>
    <xf numFmtId="0" fontId="35" fillId="6" borderId="117" xfId="0" applyFont="1" applyFill="1" applyBorder="1" applyAlignment="1" applyProtection="1">
      <alignment vertical="center" wrapText="1"/>
      <protection locked="0"/>
    </xf>
    <xf numFmtId="0" fontId="35" fillId="6" borderId="117" xfId="0" applyFont="1" applyFill="1" applyBorder="1" applyAlignment="1" applyProtection="1">
      <alignment horizontal="center" vertical="center"/>
      <protection locked="0"/>
    </xf>
    <xf numFmtId="164" fontId="35" fillId="6" borderId="117" xfId="2" applyNumberFormat="1" applyFont="1" applyFill="1" applyBorder="1" applyAlignment="1" applyProtection="1">
      <alignment horizontal="center"/>
      <protection locked="0"/>
    </xf>
    <xf numFmtId="0" fontId="19" fillId="21" borderId="119" xfId="0" applyFont="1" applyFill="1" applyBorder="1" applyAlignment="1">
      <alignment horizontal="center" vertical="center"/>
    </xf>
    <xf numFmtId="0" fontId="19" fillId="21" borderId="119" xfId="0" applyFont="1" applyFill="1" applyBorder="1" applyAlignment="1" applyProtection="1">
      <alignment horizontal="center" vertical="center"/>
      <protection locked="0"/>
    </xf>
    <xf numFmtId="0" fontId="19" fillId="21" borderId="122" xfId="0" applyFont="1" applyFill="1" applyBorder="1" applyAlignment="1" applyProtection="1">
      <alignment horizontal="center" vertical="center"/>
      <protection locked="0"/>
    </xf>
    <xf numFmtId="0" fontId="19" fillId="18" borderId="119" xfId="0" applyFont="1" applyFill="1" applyBorder="1" applyAlignment="1">
      <alignment horizontal="center" vertical="center"/>
    </xf>
    <xf numFmtId="0" fontId="19" fillId="18" borderId="119" xfId="0" applyFont="1" applyFill="1" applyBorder="1" applyAlignment="1" applyProtection="1">
      <alignment horizontal="center" vertical="center"/>
      <protection locked="0"/>
    </xf>
    <xf numFmtId="0" fontId="19" fillId="18" borderId="130" xfId="0" applyFont="1" applyFill="1" applyBorder="1" applyAlignment="1" applyProtection="1">
      <alignment horizontal="center" vertical="center"/>
      <protection locked="0"/>
    </xf>
    <xf numFmtId="0" fontId="19" fillId="0" borderId="127" xfId="0" applyFont="1" applyBorder="1" applyAlignment="1">
      <alignment horizontal="center" vertical="center"/>
    </xf>
    <xf numFmtId="165" fontId="19" fillId="0" borderId="127" xfId="0" applyNumberFormat="1" applyFont="1" applyBorder="1" applyAlignment="1">
      <alignment horizontal="center" vertical="center"/>
    </xf>
    <xf numFmtId="165" fontId="19" fillId="0" borderId="129" xfId="0" applyNumberFormat="1" applyFont="1" applyBorder="1" applyAlignment="1">
      <alignment horizontal="center" vertical="center"/>
    </xf>
    <xf numFmtId="170" fontId="19" fillId="0" borderId="130" xfId="0" applyNumberFormat="1" applyFont="1" applyBorder="1" applyAlignment="1">
      <alignment horizontal="center" vertical="center"/>
    </xf>
    <xf numFmtId="0" fontId="19" fillId="0" borderId="128" xfId="0" applyFont="1" applyBorder="1" applyAlignment="1">
      <alignment horizontal="center" vertical="center"/>
    </xf>
    <xf numFmtId="0" fontId="19" fillId="0" borderId="131" xfId="0" applyFont="1" applyBorder="1" applyAlignment="1">
      <alignment horizontal="center" vertical="center"/>
    </xf>
    <xf numFmtId="0" fontId="44" fillId="0" borderId="0" xfId="0" applyFont="1" applyAlignment="1">
      <alignment vertical="center"/>
    </xf>
    <xf numFmtId="0" fontId="44" fillId="0" borderId="87" xfId="0" applyFont="1" applyBorder="1" applyAlignment="1">
      <alignment horizontal="center" vertical="center"/>
    </xf>
    <xf numFmtId="0" fontId="44" fillId="0" borderId="64" xfId="0" applyFont="1" applyBorder="1" applyAlignment="1">
      <alignment horizontal="center" vertical="center"/>
    </xf>
    <xf numFmtId="0" fontId="44" fillId="0" borderId="141" xfId="0" applyFont="1" applyBorder="1" applyAlignment="1">
      <alignment horizontal="center" vertical="center"/>
    </xf>
    <xf numFmtId="0" fontId="44" fillId="0" borderId="66" xfId="0" applyFont="1" applyBorder="1" applyAlignment="1">
      <alignment horizontal="center" vertical="center"/>
    </xf>
    <xf numFmtId="0" fontId="44" fillId="0" borderId="67" xfId="0" applyFont="1" applyBorder="1" applyAlignment="1">
      <alignment horizontal="center" vertical="center"/>
    </xf>
    <xf numFmtId="0" fontId="44" fillId="12" borderId="88" xfId="0" applyFont="1" applyFill="1" applyBorder="1" applyAlignment="1">
      <alignment horizontal="center" vertical="center"/>
    </xf>
    <xf numFmtId="14" fontId="44" fillId="12" borderId="140" xfId="0" applyNumberFormat="1" applyFont="1" applyFill="1" applyBorder="1" applyAlignment="1">
      <alignment horizontal="center" vertical="center"/>
    </xf>
    <xf numFmtId="0" fontId="44" fillId="0" borderId="89" xfId="0" applyFont="1" applyBorder="1" applyAlignment="1">
      <alignment horizontal="center" vertical="center"/>
    </xf>
    <xf numFmtId="14" fontId="44" fillId="0" borderId="140" xfId="0" applyNumberFormat="1" applyFont="1" applyBorder="1" applyAlignment="1">
      <alignment horizontal="center" vertical="center"/>
    </xf>
    <xf numFmtId="0" fontId="44" fillId="0" borderId="0" xfId="0" applyFont="1" applyAlignment="1">
      <alignment horizontal="center" vertical="center"/>
    </xf>
    <xf numFmtId="0" fontId="19" fillId="0" borderId="120" xfId="0" applyFont="1" applyBorder="1" applyAlignment="1">
      <alignment horizontal="center" vertical="center"/>
    </xf>
    <xf numFmtId="165" fontId="19" fillId="0" borderId="118" xfId="0" applyNumberFormat="1" applyFont="1" applyBorder="1" applyAlignment="1">
      <alignment horizontal="center" vertical="center"/>
    </xf>
    <xf numFmtId="165" fontId="19" fillId="0" borderId="121" xfId="0" applyNumberFormat="1" applyFont="1" applyBorder="1" applyAlignment="1">
      <alignment horizontal="center" vertical="center"/>
    </xf>
    <xf numFmtId="0" fontId="19" fillId="0" borderId="123" xfId="0" applyFont="1" applyBorder="1" applyAlignment="1">
      <alignment horizontal="center" vertical="center"/>
    </xf>
    <xf numFmtId="0" fontId="44" fillId="12" borderId="0" xfId="0" applyFont="1" applyFill="1" applyAlignment="1">
      <alignment vertical="center"/>
    </xf>
    <xf numFmtId="165" fontId="44" fillId="18" borderId="26" xfId="0" applyNumberFormat="1" applyFont="1" applyFill="1" applyBorder="1" applyAlignment="1" applyProtection="1">
      <alignment horizontal="center"/>
      <protection locked="0"/>
    </xf>
    <xf numFmtId="1" fontId="44" fillId="18" borderId="27" xfId="0" applyNumberFormat="1" applyFont="1" applyFill="1" applyBorder="1" applyAlignment="1" applyProtection="1">
      <alignment horizontal="center"/>
      <protection locked="0"/>
    </xf>
    <xf numFmtId="0" fontId="44" fillId="18" borderId="27" xfId="0" applyFont="1" applyFill="1" applyBorder="1" applyAlignment="1" applyProtection="1">
      <alignment horizontal="center" shrinkToFit="1"/>
      <protection locked="0"/>
    </xf>
    <xf numFmtId="1" fontId="44" fillId="18" borderId="28" xfId="0" applyNumberFormat="1" applyFont="1" applyFill="1" applyBorder="1" applyAlignment="1" applyProtection="1">
      <alignment horizontal="center" shrinkToFit="1"/>
      <protection locked="0"/>
    </xf>
    <xf numFmtId="0" fontId="44" fillId="18" borderId="20" xfId="0" applyFont="1" applyFill="1" applyBorder="1" applyProtection="1">
      <protection locked="0"/>
    </xf>
    <xf numFmtId="0" fontId="44" fillId="18" borderId="21" xfId="0" applyFont="1" applyFill="1" applyBorder="1" applyProtection="1">
      <protection locked="0"/>
    </xf>
    <xf numFmtId="164" fontId="44" fillId="18" borderId="35" xfId="0" applyNumberFormat="1" applyFont="1" applyFill="1" applyBorder="1" applyAlignment="1" applyProtection="1">
      <alignment horizontal="center"/>
      <protection locked="0"/>
    </xf>
    <xf numFmtId="6" fontId="44" fillId="18" borderId="36" xfId="0" applyNumberFormat="1" applyFont="1" applyFill="1" applyBorder="1" applyAlignment="1" applyProtection="1">
      <alignment horizontal="center"/>
      <protection locked="0"/>
    </xf>
    <xf numFmtId="168" fontId="44" fillId="18" borderId="36" xfId="0" applyNumberFormat="1" applyFont="1" applyFill="1" applyBorder="1" applyAlignment="1" applyProtection="1">
      <alignment horizontal="center"/>
      <protection locked="0"/>
    </xf>
    <xf numFmtId="164" fontId="44" fillId="12" borderId="36" xfId="0" applyNumberFormat="1" applyFont="1" applyFill="1" applyBorder="1" applyAlignment="1">
      <alignment horizontal="center"/>
    </xf>
    <xf numFmtId="164" fontId="44" fillId="12" borderId="21" xfId="0" applyNumberFormat="1" applyFont="1" applyFill="1" applyBorder="1" applyAlignment="1">
      <alignment horizontal="center"/>
    </xf>
    <xf numFmtId="0" fontId="44" fillId="12" borderId="0" xfId="0" applyFont="1" applyFill="1"/>
    <xf numFmtId="0" fontId="44" fillId="12" borderId="51" xfId="0" applyFont="1" applyFill="1" applyBorder="1" applyAlignment="1">
      <alignment horizontal="center"/>
    </xf>
    <xf numFmtId="0" fontId="44" fillId="12" borderId="35" xfId="0" applyFont="1" applyFill="1" applyBorder="1" applyAlignment="1">
      <alignment horizontal="center"/>
    </xf>
    <xf numFmtId="0" fontId="44" fillId="12" borderId="41" xfId="0" applyFont="1" applyFill="1" applyBorder="1" applyAlignment="1">
      <alignment horizontal="center"/>
    </xf>
    <xf numFmtId="0" fontId="44" fillId="12" borderId="44" xfId="0" applyFont="1" applyFill="1" applyBorder="1" applyAlignment="1">
      <alignment horizontal="center"/>
    </xf>
    <xf numFmtId="0" fontId="44" fillId="12" borderId="47" xfId="0" applyFont="1" applyFill="1" applyBorder="1" applyAlignment="1">
      <alignment horizontal="center"/>
    </xf>
    <xf numFmtId="0" fontId="44" fillId="12" borderId="21" xfId="0" applyFont="1" applyFill="1" applyBorder="1" applyAlignment="1">
      <alignment horizontal="center"/>
    </xf>
    <xf numFmtId="0" fontId="44" fillId="0" borderId="0" xfId="0" applyFont="1" applyProtection="1">
      <protection locked="0"/>
    </xf>
    <xf numFmtId="165" fontId="44" fillId="18" borderId="29" xfId="0" applyNumberFormat="1" applyFont="1" applyFill="1" applyBorder="1" applyAlignment="1" applyProtection="1">
      <alignment horizontal="center"/>
      <protection locked="0"/>
    </xf>
    <xf numFmtId="1" fontId="44" fillId="18" borderId="30" xfId="0" applyNumberFormat="1" applyFont="1" applyFill="1" applyBorder="1" applyAlignment="1" applyProtection="1">
      <alignment horizontal="center"/>
      <protection locked="0"/>
    </xf>
    <xf numFmtId="0" fontId="44" fillId="18" borderId="30" xfId="0" applyFont="1" applyFill="1" applyBorder="1" applyAlignment="1" applyProtection="1">
      <alignment horizontal="center" shrinkToFit="1"/>
      <protection locked="0"/>
    </xf>
    <xf numFmtId="1" fontId="44" fillId="18" borderId="31" xfId="0" applyNumberFormat="1" applyFont="1" applyFill="1" applyBorder="1" applyAlignment="1" applyProtection="1">
      <alignment horizontal="center" shrinkToFit="1"/>
      <protection locked="0"/>
    </xf>
    <xf numFmtId="0" fontId="44" fillId="18" borderId="22" xfId="0" applyFont="1" applyFill="1" applyBorder="1" applyProtection="1">
      <protection locked="0"/>
    </xf>
    <xf numFmtId="0" fontId="44" fillId="18" borderId="23" xfId="0" applyFont="1" applyFill="1" applyBorder="1" applyProtection="1">
      <protection locked="0"/>
    </xf>
    <xf numFmtId="164" fontId="44" fillId="18" borderId="37" xfId="0" applyNumberFormat="1" applyFont="1" applyFill="1" applyBorder="1" applyAlignment="1" applyProtection="1">
      <alignment horizontal="center"/>
      <protection locked="0"/>
    </xf>
    <xf numFmtId="6" fontId="44" fillId="18" borderId="38" xfId="0" applyNumberFormat="1" applyFont="1" applyFill="1" applyBorder="1" applyAlignment="1" applyProtection="1">
      <alignment horizontal="center"/>
      <protection locked="0"/>
    </xf>
    <xf numFmtId="168" fontId="44" fillId="18" borderId="38" xfId="0" applyNumberFormat="1" applyFont="1" applyFill="1" applyBorder="1" applyAlignment="1" applyProtection="1">
      <alignment horizontal="center"/>
      <protection locked="0"/>
    </xf>
    <xf numFmtId="0" fontId="44" fillId="12" borderId="23" xfId="0" applyFont="1" applyFill="1" applyBorder="1" applyAlignment="1">
      <alignment horizontal="center"/>
    </xf>
    <xf numFmtId="0" fontId="44" fillId="12" borderId="42" xfId="0" applyFont="1" applyFill="1" applyBorder="1" applyAlignment="1">
      <alignment horizontal="center"/>
    </xf>
    <xf numFmtId="0" fontId="44" fillId="12" borderId="45" xfId="0" applyFont="1" applyFill="1" applyBorder="1" applyAlignment="1">
      <alignment horizontal="center"/>
    </xf>
    <xf numFmtId="0" fontId="44" fillId="12" borderId="48" xfId="0" applyFont="1" applyFill="1" applyBorder="1" applyAlignment="1">
      <alignment horizontal="center"/>
    </xf>
    <xf numFmtId="0" fontId="44" fillId="18" borderId="23" xfId="0" applyFont="1" applyFill="1" applyBorder="1" applyAlignment="1" applyProtection="1">
      <alignment horizontal="left"/>
      <protection locked="0"/>
    </xf>
    <xf numFmtId="6" fontId="44" fillId="18" borderId="37" xfId="2" applyNumberFormat="1" applyFont="1" applyFill="1" applyBorder="1" applyAlignment="1" applyProtection="1">
      <alignment horizontal="center"/>
      <protection locked="0"/>
    </xf>
    <xf numFmtId="165" fontId="44" fillId="18" borderId="32" xfId="0" applyNumberFormat="1" applyFont="1" applyFill="1" applyBorder="1" applyAlignment="1" applyProtection="1">
      <alignment horizontal="center"/>
      <protection locked="0"/>
    </xf>
    <xf numFmtId="1" fontId="44" fillId="18" borderId="33" xfId="0" applyNumberFormat="1" applyFont="1" applyFill="1" applyBorder="1" applyAlignment="1" applyProtection="1">
      <alignment horizontal="center"/>
      <protection locked="0"/>
    </xf>
    <xf numFmtId="1" fontId="44" fillId="18" borderId="34" xfId="0" applyNumberFormat="1" applyFont="1" applyFill="1" applyBorder="1" applyAlignment="1" applyProtection="1">
      <alignment horizontal="center" shrinkToFit="1"/>
      <protection locked="0"/>
    </xf>
    <xf numFmtId="0" fontId="44" fillId="18" borderId="24" xfId="0" applyFont="1" applyFill="1" applyBorder="1" applyProtection="1">
      <protection locked="0"/>
    </xf>
    <xf numFmtId="0" fontId="44" fillId="18" borderId="25" xfId="0" applyFont="1" applyFill="1" applyBorder="1" applyProtection="1">
      <protection locked="0"/>
    </xf>
    <xf numFmtId="6" fontId="44" fillId="18" borderId="39" xfId="2" applyNumberFormat="1" applyFont="1" applyFill="1" applyBorder="1" applyAlignment="1" applyProtection="1">
      <alignment horizontal="center"/>
      <protection locked="0"/>
    </xf>
    <xf numFmtId="6" fontId="44" fillId="18" borderId="40" xfId="0" applyNumberFormat="1" applyFont="1" applyFill="1" applyBorder="1" applyAlignment="1" applyProtection="1">
      <alignment horizontal="center"/>
      <protection locked="0"/>
    </xf>
    <xf numFmtId="168" fontId="44" fillId="18" borderId="40" xfId="0" applyNumberFormat="1" applyFont="1" applyFill="1" applyBorder="1" applyAlignment="1" applyProtection="1">
      <alignment horizontal="center"/>
      <protection locked="0"/>
    </xf>
    <xf numFmtId="0" fontId="44" fillId="12" borderId="50" xfId="0" applyFont="1" applyFill="1" applyBorder="1"/>
    <xf numFmtId="0" fontId="44" fillId="12" borderId="25" xfId="0" applyFont="1" applyFill="1" applyBorder="1" applyAlignment="1">
      <alignment horizontal="center"/>
    </xf>
    <xf numFmtId="0" fontId="44" fillId="12" borderId="43" xfId="0" applyFont="1" applyFill="1" applyBorder="1" applyAlignment="1">
      <alignment horizontal="center"/>
    </xf>
    <xf numFmtId="0" fontId="44" fillId="12" borderId="46" xfId="0" applyFont="1" applyFill="1" applyBorder="1" applyAlignment="1">
      <alignment horizontal="center"/>
    </xf>
    <xf numFmtId="0" fontId="44" fillId="12" borderId="49" xfId="0" applyFont="1" applyFill="1" applyBorder="1" applyAlignment="1">
      <alignment horizontal="center"/>
    </xf>
    <xf numFmtId="0" fontId="45" fillId="0" borderId="0" xfId="0" applyFont="1" applyAlignment="1">
      <alignment horizontal="center" vertical="center"/>
    </xf>
    <xf numFmtId="1" fontId="45" fillId="0" borderId="0" xfId="0" applyNumberFormat="1" applyFont="1" applyAlignment="1">
      <alignment horizontal="center" vertical="center"/>
    </xf>
    <xf numFmtId="0" fontId="44" fillId="0" borderId="0" xfId="0" applyFont="1" applyAlignment="1">
      <alignment vertical="center" wrapText="1"/>
    </xf>
    <xf numFmtId="9" fontId="45" fillId="0" borderId="0" xfId="0" quotePrefix="1" applyNumberFormat="1" applyFont="1" applyAlignment="1">
      <alignment horizontal="left" vertical="center"/>
    </xf>
    <xf numFmtId="6" fontId="44" fillId="0" borderId="0" xfId="2" applyNumberFormat="1" applyFont="1" applyBorder="1" applyAlignment="1" applyProtection="1">
      <alignment horizontal="center" vertical="center"/>
    </xf>
    <xf numFmtId="6" fontId="44" fillId="0" borderId="0" xfId="0" applyNumberFormat="1" applyFont="1" applyAlignment="1">
      <alignment horizontal="center" vertical="center"/>
    </xf>
    <xf numFmtId="168" fontId="44" fillId="0" borderId="0" xfId="0" applyNumberFormat="1" applyFont="1" applyAlignment="1">
      <alignment horizontal="center" vertical="center"/>
    </xf>
    <xf numFmtId="2" fontId="44" fillId="12" borderId="0" xfId="0" applyNumberFormat="1" applyFont="1" applyFill="1" applyAlignment="1">
      <alignment horizontal="center" vertical="center"/>
    </xf>
    <xf numFmtId="0" fontId="44" fillId="12" borderId="0" xfId="0" applyFont="1" applyFill="1" applyAlignment="1">
      <alignment horizontal="center" vertical="center"/>
    </xf>
    <xf numFmtId="0" fontId="44" fillId="12" borderId="52" xfId="0" applyFont="1" applyFill="1" applyBorder="1" applyAlignment="1">
      <alignment horizontal="center" vertical="center"/>
    </xf>
    <xf numFmtId="164" fontId="45" fillId="12" borderId="0" xfId="0" applyNumberFormat="1" applyFont="1" applyFill="1" applyAlignment="1">
      <alignment horizontal="center" vertical="center" shrinkToFit="1"/>
    </xf>
    <xf numFmtId="6" fontId="45" fillId="12" borderId="0" xfId="0" applyNumberFormat="1" applyFont="1" applyFill="1" applyAlignment="1">
      <alignment horizontal="center" vertical="center" shrinkToFit="1"/>
    </xf>
    <xf numFmtId="0" fontId="45" fillId="0" borderId="0" xfId="0" applyFont="1" applyAlignment="1">
      <alignment vertical="center"/>
    </xf>
    <xf numFmtId="0" fontId="45" fillId="12" borderId="0" xfId="0" applyFont="1" applyFill="1" applyAlignment="1">
      <alignment horizontal="right" vertical="center"/>
    </xf>
    <xf numFmtId="0" fontId="45" fillId="12" borderId="0" xfId="0" applyFont="1" applyFill="1" applyAlignment="1">
      <alignment vertical="center"/>
    </xf>
    <xf numFmtId="1" fontId="44" fillId="0" borderId="0" xfId="0" applyNumberFormat="1" applyFont="1"/>
    <xf numFmtId="9" fontId="44" fillId="0" borderId="0" xfId="0" applyNumberFormat="1" applyFont="1" applyProtection="1">
      <protection locked="0"/>
    </xf>
    <xf numFmtId="6" fontId="44" fillId="0" borderId="0" xfId="0" applyNumberFormat="1" applyFont="1" applyProtection="1">
      <protection locked="0"/>
    </xf>
    <xf numFmtId="0" fontId="41" fillId="12" borderId="3" xfId="0" applyFont="1" applyFill="1" applyBorder="1" applyAlignment="1">
      <alignment horizontal="center" vertical="center" wrapText="1" shrinkToFit="1"/>
    </xf>
    <xf numFmtId="0" fontId="42" fillId="12" borderId="0" xfId="0" applyFont="1" applyFill="1" applyAlignment="1">
      <alignment vertical="center"/>
    </xf>
    <xf numFmtId="0" fontId="42" fillId="0" borderId="0" xfId="0" applyFont="1" applyAlignment="1">
      <alignment vertical="center"/>
    </xf>
    <xf numFmtId="0" fontId="41" fillId="12" borderId="93" xfId="0" applyFont="1" applyFill="1" applyBorder="1" applyAlignment="1">
      <alignment horizontal="center" vertical="center" wrapText="1" shrinkToFit="1"/>
    </xf>
    <xf numFmtId="0" fontId="19" fillId="11" borderId="4" xfId="0" applyFont="1" applyFill="1" applyBorder="1" applyAlignment="1">
      <alignment horizontal="center" vertical="center"/>
    </xf>
    <xf numFmtId="0" fontId="19" fillId="0" borderId="71" xfId="0" applyFont="1" applyBorder="1" applyAlignment="1">
      <alignment horizontal="center" vertical="center"/>
    </xf>
    <xf numFmtId="0" fontId="19" fillId="0" borderId="73" xfId="0" applyFont="1" applyBorder="1" applyAlignment="1">
      <alignment horizontal="center" vertical="center"/>
    </xf>
    <xf numFmtId="0" fontId="19" fillId="0" borderId="146" xfId="0" applyFont="1" applyBorder="1" applyAlignment="1">
      <alignment horizontal="center" vertical="center"/>
    </xf>
    <xf numFmtId="0" fontId="19" fillId="0" borderId="147" xfId="0" applyFont="1" applyBorder="1" applyAlignment="1">
      <alignment horizontal="center" vertical="center"/>
    </xf>
    <xf numFmtId="2" fontId="19" fillId="12" borderId="148" xfId="0" applyNumberFormat="1" applyFont="1" applyFill="1" applyBorder="1" applyAlignment="1">
      <alignment horizontal="center" vertical="center"/>
    </xf>
    <xf numFmtId="2" fontId="19" fillId="12" borderId="11" xfId="0" applyNumberFormat="1" applyFont="1" applyFill="1" applyBorder="1" applyAlignment="1">
      <alignment horizontal="center" vertical="center"/>
    </xf>
    <xf numFmtId="0" fontId="24" fillId="13" borderId="93" xfId="0" applyFont="1" applyFill="1" applyBorder="1" applyAlignment="1">
      <alignment horizontal="center" vertical="center"/>
    </xf>
    <xf numFmtId="164" fontId="24" fillId="13" borderId="93" xfId="0" applyNumberFormat="1" applyFont="1" applyFill="1" applyBorder="1" applyAlignment="1">
      <alignment vertical="center"/>
    </xf>
    <xf numFmtId="0" fontId="38" fillId="2" borderId="0" xfId="0" applyFont="1" applyFill="1" applyAlignment="1" applyProtection="1">
      <alignment horizontal="center"/>
      <protection hidden="1"/>
    </xf>
    <xf numFmtId="1" fontId="44" fillId="18" borderId="149" xfId="0" applyNumberFormat="1" applyFont="1" applyFill="1" applyBorder="1" applyAlignment="1" applyProtection="1">
      <alignment horizontal="center"/>
      <protection locked="0"/>
    </xf>
    <xf numFmtId="1" fontId="45" fillId="0" borderId="93" xfId="0" applyNumberFormat="1" applyFont="1" applyBorder="1" applyAlignment="1">
      <alignment horizontal="center" vertical="center"/>
    </xf>
    <xf numFmtId="164" fontId="62" fillId="2" borderId="111" xfId="0" applyNumberFormat="1" applyFont="1" applyFill="1" applyBorder="1" applyAlignment="1">
      <alignment vertical="center"/>
    </xf>
    <xf numFmtId="166" fontId="62" fillId="2" borderId="113" xfId="0" applyNumberFormat="1" applyFont="1" applyFill="1" applyBorder="1" applyAlignment="1">
      <alignment vertical="center"/>
    </xf>
    <xf numFmtId="164" fontId="41" fillId="12" borderId="91" xfId="2" applyNumberFormat="1" applyFont="1" applyFill="1" applyBorder="1" applyAlignment="1" applyProtection="1">
      <alignment horizontal="center" vertical="center"/>
      <protection hidden="1"/>
    </xf>
    <xf numFmtId="0" fontId="44" fillId="0" borderId="0" xfId="0" applyFont="1" applyProtection="1">
      <protection hidden="1"/>
    </xf>
    <xf numFmtId="0" fontId="35" fillId="0" borderId="0" xfId="0" applyFont="1" applyAlignment="1" applyProtection="1">
      <alignment horizontal="left"/>
      <protection hidden="1"/>
    </xf>
    <xf numFmtId="0" fontId="35" fillId="0" borderId="0" xfId="0" applyFont="1" applyAlignment="1" applyProtection="1">
      <alignment horizontal="center"/>
      <protection hidden="1"/>
    </xf>
    <xf numFmtId="173" fontId="35" fillId="0" borderId="0" xfId="1" applyNumberFormat="1" applyFont="1" applyProtection="1">
      <protection hidden="1"/>
    </xf>
    <xf numFmtId="173" fontId="35" fillId="0" borderId="0" xfId="1" quotePrefix="1" applyNumberFormat="1" applyFont="1" applyProtection="1">
      <protection hidden="1"/>
    </xf>
    <xf numFmtId="1" fontId="41" fillId="12" borderId="91" xfId="0" applyNumberFormat="1" applyFont="1" applyFill="1" applyBorder="1" applyAlignment="1" applyProtection="1">
      <alignment horizontal="center" vertical="center"/>
      <protection hidden="1"/>
    </xf>
    <xf numFmtId="0" fontId="14" fillId="0" borderId="0" xfId="0" applyFont="1"/>
    <xf numFmtId="0" fontId="92" fillId="0" borderId="0" xfId="0" applyFont="1"/>
    <xf numFmtId="164" fontId="13" fillId="0" borderId="0" xfId="0" applyNumberFormat="1" applyFont="1"/>
    <xf numFmtId="164" fontId="92" fillId="0" borderId="0" xfId="0" applyNumberFormat="1" applyFont="1"/>
    <xf numFmtId="0" fontId="1" fillId="0" borderId="77" xfId="0" applyFont="1" applyBorder="1"/>
    <xf numFmtId="0" fontId="55" fillId="0" borderId="0" xfId="0" applyFont="1"/>
    <xf numFmtId="0" fontId="54" fillId="11" borderId="132" xfId="0" applyFont="1" applyFill="1" applyBorder="1" applyAlignment="1">
      <alignment horizontal="right" vertical="center"/>
    </xf>
    <xf numFmtId="0" fontId="54" fillId="11" borderId="134" xfId="0" applyFont="1" applyFill="1" applyBorder="1" applyAlignment="1">
      <alignment horizontal="right" vertical="center"/>
    </xf>
    <xf numFmtId="0" fontId="55" fillId="0" borderId="0" xfId="0" applyFont="1" applyAlignment="1">
      <alignment vertical="center"/>
    </xf>
    <xf numFmtId="0" fontId="55" fillId="0" borderId="57" xfId="0" applyFont="1" applyBorder="1"/>
    <xf numFmtId="0" fontId="55" fillId="0" borderId="58" xfId="0" applyFont="1" applyBorder="1"/>
    <xf numFmtId="0" fontId="55" fillId="0" borderId="58" xfId="0" applyFont="1" applyBorder="1" applyAlignment="1">
      <alignment vertical="center"/>
    </xf>
    <xf numFmtId="0" fontId="55" fillId="0" borderId="57" xfId="0" applyFont="1" applyBorder="1" applyAlignment="1">
      <alignment vertical="center"/>
    </xf>
    <xf numFmtId="0" fontId="54" fillId="11" borderId="135" xfId="0" applyFont="1" applyFill="1" applyBorder="1" applyAlignment="1">
      <alignment horizontal="center" vertical="center"/>
    </xf>
    <xf numFmtId="0" fontId="54" fillId="11" borderId="4" xfId="0" applyFont="1" applyFill="1" applyBorder="1" applyAlignment="1">
      <alignment horizontal="center" vertical="center"/>
    </xf>
    <xf numFmtId="0" fontId="54" fillId="12" borderId="136" xfId="0" applyFont="1" applyFill="1" applyBorder="1" applyAlignment="1">
      <alignment horizontal="center" vertical="center"/>
    </xf>
    <xf numFmtId="0" fontId="54" fillId="12" borderId="5" xfId="0" applyFont="1" applyFill="1" applyBorder="1" applyAlignment="1">
      <alignment horizontal="center" vertical="center"/>
    </xf>
    <xf numFmtId="0" fontId="54" fillId="0" borderId="57" xfId="0" applyFont="1" applyBorder="1" applyAlignment="1">
      <alignment horizontal="center" vertical="center"/>
    </xf>
    <xf numFmtId="10" fontId="54" fillId="0" borderId="57" xfId="0" applyNumberFormat="1" applyFont="1" applyBorder="1" applyAlignment="1">
      <alignment horizontal="center" vertical="center" shrinkToFit="1"/>
    </xf>
    <xf numFmtId="10" fontId="54" fillId="12" borderId="5" xfId="3" applyNumberFormat="1" applyFont="1" applyFill="1" applyBorder="1" applyAlignment="1" applyProtection="1">
      <alignment horizontal="center" vertical="center"/>
    </xf>
    <xf numFmtId="0" fontId="54" fillId="11" borderId="137" xfId="0" applyFont="1" applyFill="1" applyBorder="1" applyAlignment="1">
      <alignment horizontal="center" vertical="center"/>
    </xf>
    <xf numFmtId="0" fontId="54" fillId="11" borderId="6" xfId="0" applyFont="1" applyFill="1" applyBorder="1" applyAlignment="1">
      <alignment horizontal="center" vertical="center"/>
    </xf>
    <xf numFmtId="0" fontId="54" fillId="0" borderId="58" xfId="0" applyFont="1" applyBorder="1" applyAlignment="1">
      <alignment vertical="center"/>
    </xf>
    <xf numFmtId="0" fontId="54" fillId="11" borderId="138" xfId="0" applyFont="1" applyFill="1" applyBorder="1" applyAlignment="1">
      <alignment horizontal="center" vertical="center"/>
    </xf>
    <xf numFmtId="0" fontId="54" fillId="11" borderId="7" xfId="0" applyFont="1" applyFill="1" applyBorder="1" applyAlignment="1">
      <alignment horizontal="center" vertical="center"/>
    </xf>
    <xf numFmtId="2" fontId="54" fillId="12" borderId="136" xfId="0" applyNumberFormat="1" applyFont="1" applyFill="1" applyBorder="1" applyAlignment="1">
      <alignment horizontal="center" vertical="center"/>
    </xf>
    <xf numFmtId="2" fontId="54" fillId="12" borderId="8" xfId="0" applyNumberFormat="1" applyFont="1" applyFill="1" applyBorder="1" applyAlignment="1">
      <alignment horizontal="center" vertical="center"/>
    </xf>
    <xf numFmtId="0" fontId="54" fillId="0" borderId="57" xfId="0" applyFont="1" applyBorder="1" applyAlignment="1">
      <alignment horizontal="left" vertical="center"/>
    </xf>
    <xf numFmtId="2" fontId="54" fillId="12" borderId="9" xfId="0" applyNumberFormat="1" applyFont="1" applyFill="1" applyBorder="1" applyAlignment="1">
      <alignment horizontal="right" vertical="center" shrinkToFit="1"/>
    </xf>
    <xf numFmtId="0" fontId="54" fillId="12" borderId="11" xfId="0" applyFont="1" applyFill="1" applyBorder="1" applyAlignment="1">
      <alignment horizontal="left" vertical="center"/>
    </xf>
    <xf numFmtId="0" fontId="55" fillId="0" borderId="62" xfId="0" applyFont="1" applyBorder="1" applyAlignment="1">
      <alignment vertical="center"/>
    </xf>
    <xf numFmtId="0" fontId="55" fillId="0" borderId="63" xfId="0" applyFont="1" applyBorder="1" applyAlignment="1">
      <alignment vertical="center"/>
    </xf>
    <xf numFmtId="0" fontId="54" fillId="11" borderId="150" xfId="0" applyFont="1" applyFill="1" applyBorder="1" applyAlignment="1">
      <alignment horizontal="center" vertical="center"/>
    </xf>
    <xf numFmtId="0" fontId="54" fillId="11" borderId="151" xfId="0" applyFont="1" applyFill="1" applyBorder="1" applyAlignment="1">
      <alignment horizontal="center" vertical="center"/>
    </xf>
    <xf numFmtId="0" fontId="54" fillId="12" borderId="152" xfId="0" applyFont="1" applyFill="1" applyBorder="1" applyAlignment="1">
      <alignment horizontal="center" vertical="center"/>
    </xf>
    <xf numFmtId="10" fontId="54" fillId="12" borderId="152" xfId="3" applyNumberFormat="1" applyFont="1" applyFill="1" applyBorder="1" applyAlignment="1" applyProtection="1">
      <alignment horizontal="center" vertical="center"/>
    </xf>
    <xf numFmtId="0" fontId="54" fillId="11" borderId="153" xfId="0" applyFont="1" applyFill="1" applyBorder="1" applyAlignment="1">
      <alignment horizontal="center" vertical="center"/>
    </xf>
    <xf numFmtId="0" fontId="54" fillId="11" borderId="154" xfId="0" applyFont="1" applyFill="1" applyBorder="1" applyAlignment="1">
      <alignment horizontal="center" vertical="center"/>
    </xf>
    <xf numFmtId="2" fontId="54" fillId="12" borderId="152" xfId="0" applyNumberFormat="1" applyFont="1" applyFill="1" applyBorder="1" applyAlignment="1">
      <alignment horizontal="center" vertical="center"/>
    </xf>
    <xf numFmtId="164" fontId="54" fillId="23" borderId="155" xfId="0" applyNumberFormat="1" applyFont="1" applyFill="1" applyBorder="1" applyAlignment="1">
      <alignment horizontal="center" vertical="center"/>
    </xf>
    <xf numFmtId="164" fontId="54" fillId="13" borderId="155" xfId="0" applyNumberFormat="1" applyFont="1" applyFill="1" applyBorder="1" applyAlignment="1">
      <alignment horizontal="center" vertical="center"/>
    </xf>
    <xf numFmtId="0" fontId="102" fillId="0" borderId="57" xfId="0" applyFont="1" applyBorder="1" applyAlignment="1">
      <alignment horizontal="right" vertical="center"/>
    </xf>
    <xf numFmtId="0" fontId="100" fillId="0" borderId="57" xfId="0" applyFont="1" applyBorder="1" applyAlignment="1">
      <alignment vertical="center" wrapText="1"/>
    </xf>
    <xf numFmtId="0" fontId="54" fillId="0" borderId="0" xfId="0" applyFont="1" applyAlignment="1">
      <alignment horizontal="center" vertical="center"/>
    </xf>
    <xf numFmtId="0" fontId="54" fillId="0" borderId="61" xfId="0" applyFont="1" applyBorder="1" applyAlignment="1">
      <alignment vertical="center"/>
    </xf>
    <xf numFmtId="164" fontId="54" fillId="24" borderId="156" xfId="0" applyNumberFormat="1" applyFont="1" applyFill="1" applyBorder="1" applyAlignment="1">
      <alignment horizontal="center" vertical="center"/>
    </xf>
    <xf numFmtId="0" fontId="103" fillId="3" borderId="0" xfId="0" applyFont="1" applyFill="1" applyAlignment="1" applyProtection="1">
      <alignment horizontal="center" vertical="center" wrapText="1"/>
      <protection locked="0"/>
    </xf>
    <xf numFmtId="0" fontId="62" fillId="2" borderId="99" xfId="0" applyFont="1" applyFill="1" applyBorder="1" applyAlignment="1">
      <alignment horizontal="right" vertical="center" wrapText="1"/>
    </xf>
    <xf numFmtId="9" fontId="105" fillId="19" borderId="146" xfId="3" applyFont="1" applyFill="1" applyBorder="1" applyProtection="1">
      <protection locked="0"/>
    </xf>
    <xf numFmtId="9" fontId="105" fillId="19" borderId="147" xfId="3" applyFont="1" applyFill="1" applyBorder="1" applyProtection="1">
      <protection locked="0"/>
    </xf>
    <xf numFmtId="9" fontId="105" fillId="19" borderId="159" xfId="3" applyFont="1" applyFill="1" applyBorder="1" applyProtection="1">
      <protection locked="0"/>
    </xf>
    <xf numFmtId="9" fontId="40" fillId="18" borderId="19" xfId="3" applyFont="1" applyFill="1" applyBorder="1" applyAlignment="1" applyProtection="1">
      <alignment vertical="center"/>
      <protection locked="0"/>
    </xf>
    <xf numFmtId="0" fontId="37" fillId="11" borderId="90" xfId="0" applyFont="1" applyFill="1" applyBorder="1" applyAlignment="1" applyProtection="1">
      <alignment horizontal="center" vertical="center" wrapText="1"/>
      <protection hidden="1"/>
    </xf>
    <xf numFmtId="0" fontId="99" fillId="11" borderId="170" xfId="0" applyFont="1" applyFill="1" applyBorder="1" applyAlignment="1">
      <alignment horizontal="right" vertical="center"/>
    </xf>
    <xf numFmtId="0" fontId="99" fillId="11" borderId="172" xfId="0" applyFont="1" applyFill="1" applyBorder="1" applyAlignment="1">
      <alignment vertical="center"/>
    </xf>
    <xf numFmtId="0" fontId="99" fillId="11" borderId="173" xfId="0" applyFont="1" applyFill="1" applyBorder="1" applyAlignment="1">
      <alignment horizontal="right" vertical="center"/>
    </xf>
    <xf numFmtId="0" fontId="99" fillId="12" borderId="174" xfId="0" applyFont="1" applyFill="1" applyBorder="1" applyAlignment="1">
      <alignment horizontal="center" vertical="center"/>
    </xf>
    <xf numFmtId="0" fontId="28" fillId="0" borderId="57" xfId="0" applyFont="1" applyBorder="1" applyAlignment="1">
      <alignment vertical="center"/>
    </xf>
    <xf numFmtId="0" fontId="24" fillId="0" borderId="58" xfId="0" applyFont="1" applyBorder="1" applyAlignment="1">
      <alignment vertical="center"/>
    </xf>
    <xf numFmtId="0" fontId="24" fillId="0" borderId="57" xfId="0" applyFont="1" applyBorder="1" applyAlignment="1">
      <alignment vertical="center"/>
    </xf>
    <xf numFmtId="0" fontId="19" fillId="11" borderId="135" xfId="0" applyFont="1" applyFill="1" applyBorder="1" applyAlignment="1">
      <alignment horizontal="center" vertical="center"/>
    </xf>
    <xf numFmtId="0" fontId="19" fillId="12" borderId="136" xfId="0" applyFont="1" applyFill="1" applyBorder="1" applyAlignment="1">
      <alignment horizontal="center" vertical="center"/>
    </xf>
    <xf numFmtId="0" fontId="19" fillId="0" borderId="0" xfId="0" applyFont="1" applyAlignment="1">
      <alignment horizontal="center" vertical="center"/>
    </xf>
    <xf numFmtId="0" fontId="19" fillId="0" borderId="0" xfId="0" applyFont="1" applyAlignment="1">
      <alignment vertical="center"/>
    </xf>
    <xf numFmtId="0" fontId="19" fillId="0" borderId="57" xfId="0" applyFont="1" applyBorder="1" applyAlignment="1">
      <alignment horizontal="center" vertical="center"/>
    </xf>
    <xf numFmtId="10" fontId="19" fillId="0" borderId="57" xfId="0" applyNumberFormat="1" applyFont="1" applyBorder="1" applyAlignment="1">
      <alignment horizontal="center" vertical="center" shrinkToFit="1"/>
    </xf>
    <xf numFmtId="0" fontId="19" fillId="0" borderId="175" xfId="0" applyFont="1" applyBorder="1" applyAlignment="1">
      <alignment horizontal="center" vertical="center"/>
    </xf>
    <xf numFmtId="2" fontId="19" fillId="12" borderId="176" xfId="0" applyNumberFormat="1" applyFont="1" applyFill="1" applyBorder="1" applyAlignment="1">
      <alignment horizontal="center" vertical="center"/>
    </xf>
    <xf numFmtId="0" fontId="16" fillId="0" borderId="57" xfId="0" applyFont="1" applyBorder="1"/>
    <xf numFmtId="0" fontId="24" fillId="0" borderId="58" xfId="0" applyFont="1" applyBorder="1"/>
    <xf numFmtId="0" fontId="19" fillId="0" borderId="57" xfId="0" applyFont="1" applyBorder="1" applyAlignment="1">
      <alignment horizontal="left" vertical="center"/>
    </xf>
    <xf numFmtId="0" fontId="26" fillId="0" borderId="58" xfId="0" applyFont="1" applyBorder="1" applyAlignment="1">
      <alignment horizontal="center" vertical="center" wrapText="1"/>
    </xf>
    <xf numFmtId="164" fontId="19" fillId="24" borderId="177" xfId="0" applyNumberFormat="1" applyFont="1" applyFill="1" applyBorder="1" applyAlignment="1">
      <alignment horizontal="center" vertical="center"/>
    </xf>
    <xf numFmtId="0" fontId="24" fillId="0" borderId="63" xfId="0" applyFont="1" applyBorder="1" applyAlignment="1">
      <alignment vertical="center"/>
    </xf>
    <xf numFmtId="0" fontId="54" fillId="0" borderId="58" xfId="0" applyFont="1" applyBorder="1" applyAlignment="1">
      <alignment vertical="center" wrapText="1"/>
    </xf>
    <xf numFmtId="0" fontId="19" fillId="0" borderId="0" xfId="0" applyFont="1" applyAlignment="1">
      <alignment horizontal="right" vertical="center"/>
    </xf>
    <xf numFmtId="0" fontId="19" fillId="0" borderId="62" xfId="0" applyFont="1" applyBorder="1" applyAlignment="1">
      <alignment horizontal="right" vertical="center"/>
    </xf>
    <xf numFmtId="0" fontId="24" fillId="0" borderId="62" xfId="0" applyFont="1" applyBorder="1" applyAlignment="1">
      <alignment vertical="center"/>
    </xf>
    <xf numFmtId="0" fontId="25" fillId="0" borderId="15" xfId="0" applyFont="1" applyBorder="1" applyAlignment="1">
      <alignment horizontal="center" vertical="center" wrapText="1"/>
    </xf>
    <xf numFmtId="0" fontId="9" fillId="11" borderId="93" xfId="0" applyFont="1" applyFill="1" applyBorder="1" applyAlignment="1">
      <alignment horizontal="right"/>
    </xf>
    <xf numFmtId="169" fontId="9" fillId="12" borderId="93" xfId="2" applyNumberFormat="1" applyFont="1" applyFill="1" applyBorder="1"/>
    <xf numFmtId="169" fontId="12" fillId="12" borderId="93" xfId="2" applyNumberFormat="1" applyFont="1" applyFill="1" applyBorder="1" applyProtection="1"/>
    <xf numFmtId="1" fontId="12" fillId="12" borderId="93" xfId="0" applyNumberFormat="1" applyFont="1" applyFill="1" applyBorder="1"/>
    <xf numFmtId="2" fontId="12" fillId="12" borderId="93" xfId="0" applyNumberFormat="1" applyFont="1" applyFill="1" applyBorder="1"/>
    <xf numFmtId="174" fontId="12" fillId="12" borderId="93" xfId="0" applyNumberFormat="1" applyFont="1" applyFill="1" applyBorder="1"/>
    <xf numFmtId="0" fontId="12" fillId="28" borderId="93" xfId="0" applyFont="1" applyFill="1" applyBorder="1" applyProtection="1">
      <protection locked="0"/>
    </xf>
    <xf numFmtId="169" fontId="12" fillId="28" borderId="93" xfId="2" applyNumberFormat="1" applyFont="1" applyFill="1" applyBorder="1" applyProtection="1">
      <protection locked="0"/>
    </xf>
    <xf numFmtId="0" fontId="12" fillId="12" borderId="93" xfId="0" applyFont="1" applyFill="1" applyBorder="1"/>
    <xf numFmtId="0" fontId="12" fillId="22" borderId="57" xfId="0" applyFont="1" applyFill="1" applyBorder="1"/>
    <xf numFmtId="0" fontId="12" fillId="22" borderId="58" xfId="0" applyFont="1" applyFill="1" applyBorder="1"/>
    <xf numFmtId="0" fontId="9" fillId="11" borderId="95" xfId="0" applyFont="1" applyFill="1" applyBorder="1"/>
    <xf numFmtId="0" fontId="9" fillId="11" borderId="96" xfId="0" applyFont="1" applyFill="1" applyBorder="1"/>
    <xf numFmtId="0" fontId="54" fillId="11" borderId="160" xfId="0" applyFont="1" applyFill="1" applyBorder="1" applyAlignment="1">
      <alignment horizontal="center" vertical="center"/>
    </xf>
    <xf numFmtId="164" fontId="54" fillId="23" borderId="178" xfId="0" applyNumberFormat="1" applyFont="1" applyFill="1" applyBorder="1" applyAlignment="1">
      <alignment horizontal="center" vertical="center"/>
    </xf>
    <xf numFmtId="0" fontId="41" fillId="18" borderId="3" xfId="0" applyFont="1" applyFill="1" applyBorder="1" applyAlignment="1" applyProtection="1">
      <alignment horizontal="center" vertical="center" wrapText="1" shrinkToFit="1"/>
      <protection locked="0"/>
    </xf>
    <xf numFmtId="0" fontId="41" fillId="18" borderId="3" xfId="0" applyFont="1" applyFill="1" applyBorder="1" applyAlignment="1" applyProtection="1">
      <alignment horizontal="center" vertical="center" shrinkToFit="1"/>
      <protection locked="0"/>
    </xf>
    <xf numFmtId="0" fontId="41" fillId="18" borderId="18" xfId="0" applyFont="1" applyFill="1" applyBorder="1" applyAlignment="1" applyProtection="1">
      <alignment horizontal="center" vertical="center" wrapText="1" shrinkToFit="1"/>
      <protection locked="0"/>
    </xf>
    <xf numFmtId="0" fontId="41" fillId="18" borderId="3" xfId="0" applyFont="1" applyFill="1" applyBorder="1" applyAlignment="1" applyProtection="1">
      <alignment horizontal="center" vertical="center"/>
      <protection locked="0"/>
    </xf>
    <xf numFmtId="0" fontId="41" fillId="18" borderId="18" xfId="0" applyFont="1" applyFill="1" applyBorder="1" applyAlignment="1" applyProtection="1">
      <alignment horizontal="center" vertical="center"/>
      <protection locked="0"/>
    </xf>
    <xf numFmtId="0" fontId="41" fillId="18" borderId="3" xfId="0" applyFont="1" applyFill="1" applyBorder="1" applyAlignment="1" applyProtection="1">
      <alignment horizontal="center" vertical="center" wrapText="1"/>
      <protection locked="0"/>
    </xf>
    <xf numFmtId="164" fontId="44" fillId="18" borderId="36" xfId="0" applyNumberFormat="1" applyFont="1" applyFill="1" applyBorder="1" applyAlignment="1" applyProtection="1">
      <alignment horizontal="center"/>
      <protection locked="0"/>
    </xf>
    <xf numFmtId="164" fontId="44" fillId="18" borderId="38" xfId="0" applyNumberFormat="1" applyFont="1" applyFill="1" applyBorder="1" applyAlignment="1" applyProtection="1">
      <alignment horizontal="center"/>
      <protection locked="0"/>
    </xf>
    <xf numFmtId="164" fontId="44" fillId="18" borderId="40" xfId="0" applyNumberFormat="1" applyFont="1" applyFill="1" applyBorder="1" applyAlignment="1" applyProtection="1">
      <alignment horizontal="center"/>
      <protection locked="0"/>
    </xf>
    <xf numFmtId="0" fontId="78" fillId="5" borderId="103" xfId="0" applyFont="1" applyFill="1" applyBorder="1" applyAlignment="1">
      <alignment horizontal="center" vertical="center" wrapText="1"/>
    </xf>
    <xf numFmtId="164" fontId="34" fillId="5" borderId="103" xfId="0" applyNumberFormat="1" applyFont="1" applyFill="1" applyBorder="1" applyProtection="1">
      <protection hidden="1"/>
    </xf>
    <xf numFmtId="164" fontId="62" fillId="2" borderId="99" xfId="0" applyNumberFormat="1" applyFont="1" applyFill="1" applyBorder="1" applyAlignment="1">
      <alignment vertical="center"/>
    </xf>
    <xf numFmtId="164" fontId="34" fillId="5" borderId="104" xfId="0" applyNumberFormat="1" applyFont="1" applyFill="1" applyBorder="1" applyProtection="1">
      <protection hidden="1"/>
    </xf>
    <xf numFmtId="0" fontId="71" fillId="2" borderId="0" xfId="0" applyFont="1" applyFill="1"/>
    <xf numFmtId="0" fontId="72" fillId="0" borderId="102" xfId="0" applyFont="1" applyBorder="1" applyAlignment="1">
      <alignment horizontal="center" vertical="center"/>
    </xf>
    <xf numFmtId="0" fontId="72" fillId="0" borderId="0" xfId="0" applyFont="1" applyAlignment="1">
      <alignment horizontal="center" vertical="center"/>
    </xf>
    <xf numFmtId="0" fontId="72" fillId="0" borderId="103" xfId="0" applyFont="1" applyBorder="1" applyAlignment="1">
      <alignment horizontal="center" vertical="center"/>
    </xf>
    <xf numFmtId="0" fontId="79" fillId="5" borderId="102" xfId="0" applyFont="1" applyFill="1" applyBorder="1" applyAlignment="1">
      <alignment horizontal="center" vertical="center" textRotation="180" wrapText="1"/>
    </xf>
    <xf numFmtId="0" fontId="62" fillId="6" borderId="0" xfId="0" applyFont="1" applyFill="1" applyAlignment="1">
      <alignment horizontal="center" vertical="center" textRotation="180" wrapText="1"/>
    </xf>
    <xf numFmtId="0" fontId="88" fillId="6" borderId="0" xfId="0" applyFont="1" applyFill="1" applyAlignment="1">
      <alignment horizontal="center" vertical="center" textRotation="180" wrapText="1"/>
    </xf>
    <xf numFmtId="0" fontId="62" fillId="6" borderId="0" xfId="0" applyFont="1" applyFill="1" applyAlignment="1">
      <alignment vertical="center" wrapText="1"/>
    </xf>
    <xf numFmtId="0" fontId="62" fillId="6" borderId="0" xfId="0" applyFont="1" applyFill="1" applyAlignment="1">
      <alignment horizontal="center" vertical="center" wrapText="1"/>
    </xf>
    <xf numFmtId="0" fontId="62" fillId="6" borderId="0" xfId="0" applyFont="1" applyFill="1" applyAlignment="1">
      <alignment horizontal="center" vertical="center"/>
    </xf>
    <xf numFmtId="10" fontId="80" fillId="6" borderId="102" xfId="0" applyNumberFormat="1" applyFont="1" applyFill="1" applyBorder="1" applyAlignment="1">
      <alignment horizontal="center"/>
    </xf>
    <xf numFmtId="14" fontId="60" fillId="6" borderId="0" xfId="0" applyNumberFormat="1" applyFont="1" applyFill="1" applyAlignment="1">
      <alignment horizontal="center"/>
    </xf>
    <xf numFmtId="0" fontId="35" fillId="6" borderId="114" xfId="2" applyNumberFormat="1" applyFont="1" applyFill="1" applyBorder="1" applyAlignment="1" applyProtection="1">
      <alignment horizontal="center"/>
    </xf>
    <xf numFmtId="0" fontId="60" fillId="6" borderId="114" xfId="0" applyFont="1" applyFill="1" applyBorder="1" applyAlignment="1">
      <alignment vertical="center" wrapText="1"/>
    </xf>
    <xf numFmtId="10" fontId="60" fillId="6" borderId="0" xfId="0" applyNumberFormat="1" applyFont="1" applyFill="1" applyAlignment="1">
      <alignment horizontal="center"/>
    </xf>
    <xf numFmtId="10" fontId="80" fillId="6" borderId="108" xfId="0" applyNumberFormat="1" applyFont="1" applyFill="1" applyBorder="1" applyAlignment="1">
      <alignment horizontal="center"/>
    </xf>
    <xf numFmtId="1" fontId="85" fillId="0" borderId="99" xfId="0" applyNumberFormat="1" applyFont="1" applyBorder="1" applyAlignment="1">
      <alignment horizontal="center" vertical="center"/>
    </xf>
    <xf numFmtId="1" fontId="83" fillId="0" borderId="99" xfId="0" applyNumberFormat="1" applyFont="1" applyBorder="1" applyAlignment="1">
      <alignment horizontal="center" vertical="center"/>
    </xf>
    <xf numFmtId="0" fontId="90" fillId="2" borderId="0" xfId="0" applyFont="1" applyFill="1" applyAlignment="1">
      <alignment horizontal="center" vertical="center"/>
    </xf>
    <xf numFmtId="0" fontId="88" fillId="2" borderId="0" xfId="0" applyFont="1" applyFill="1" applyAlignment="1">
      <alignment vertical="center" wrapText="1"/>
    </xf>
    <xf numFmtId="0" fontId="91" fillId="2" borderId="0" xfId="0" applyFont="1" applyFill="1" applyAlignment="1">
      <alignment horizontal="center" vertical="top"/>
    </xf>
    <xf numFmtId="0" fontId="88" fillId="2" borderId="0" xfId="0" applyFont="1" applyFill="1" applyAlignment="1">
      <alignment horizontal="center" vertical="top"/>
    </xf>
    <xf numFmtId="0" fontId="90" fillId="0" borderId="0" xfId="0" applyFont="1" applyAlignment="1">
      <alignment horizontal="center" vertical="center"/>
    </xf>
    <xf numFmtId="0" fontId="35" fillId="0" borderId="0" xfId="0" applyFont="1" applyAlignment="1">
      <alignment vertical="center" wrapText="1"/>
    </xf>
    <xf numFmtId="0" fontId="87" fillId="0" borderId="0" xfId="0" applyFont="1" applyAlignment="1">
      <alignment horizontal="center" vertical="center"/>
    </xf>
    <xf numFmtId="0" fontId="35" fillId="0" borderId="0" xfId="0" applyFont="1" applyAlignment="1">
      <alignment horizontal="center"/>
    </xf>
    <xf numFmtId="0" fontId="89" fillId="0" borderId="0" xfId="0" applyFont="1"/>
    <xf numFmtId="0" fontId="33" fillId="12" borderId="65" xfId="0" applyFont="1" applyFill="1" applyBorder="1"/>
    <xf numFmtId="0" fontId="43" fillId="0" borderId="0" xfId="0" applyFont="1"/>
    <xf numFmtId="0" fontId="47" fillId="0" borderId="0" xfId="0" applyFont="1"/>
    <xf numFmtId="0" fontId="35" fillId="0" borderId="57" xfId="0" applyFont="1" applyBorder="1"/>
    <xf numFmtId="0" fontId="35" fillId="0" borderId="0" xfId="0" applyFont="1" applyAlignment="1">
      <alignment horizontal="left"/>
    </xf>
    <xf numFmtId="0" fontId="35" fillId="0" borderId="0" xfId="0" applyFont="1" applyAlignment="1">
      <alignment horizontal="center" shrinkToFit="1"/>
    </xf>
    <xf numFmtId="0" fontId="33" fillId="0" borderId="0" xfId="0" applyFont="1" applyAlignment="1">
      <alignment horizontal="center"/>
    </xf>
    <xf numFmtId="0" fontId="33" fillId="0" borderId="58" xfId="0" applyFont="1" applyBorder="1" applyAlignment="1">
      <alignment horizontal="center"/>
    </xf>
    <xf numFmtId="0" fontId="106" fillId="0" borderId="0" xfId="0" applyFont="1" applyAlignment="1">
      <alignment horizontal="left"/>
    </xf>
    <xf numFmtId="0" fontId="34" fillId="0" borderId="0" xfId="0" applyFont="1" applyAlignment="1">
      <alignment horizontal="center"/>
    </xf>
    <xf numFmtId="0" fontId="43" fillId="0" borderId="0" xfId="0" applyFont="1" applyAlignment="1">
      <alignment horizontal="center" vertical="center" wrapText="1"/>
    </xf>
    <xf numFmtId="0" fontId="35" fillId="0" borderId="58" xfId="0" applyFont="1" applyBorder="1"/>
    <xf numFmtId="6" fontId="40" fillId="22" borderId="18" xfId="0" applyNumberFormat="1" applyFont="1" applyFill="1" applyBorder="1" applyAlignment="1">
      <alignment horizontal="right" vertical="center"/>
    </xf>
    <xf numFmtId="169" fontId="40" fillId="22" borderId="64" xfId="2" applyNumberFormat="1" applyFont="1" applyFill="1" applyBorder="1" applyAlignment="1" applyProtection="1">
      <alignment vertical="center"/>
    </xf>
    <xf numFmtId="0" fontId="47" fillId="0" borderId="57" xfId="0" applyFont="1" applyBorder="1"/>
    <xf numFmtId="0" fontId="47" fillId="22" borderId="74" xfId="0" applyFont="1" applyFill="1" applyBorder="1"/>
    <xf numFmtId="0" fontId="47" fillId="22" borderId="76" xfId="0" applyFont="1" applyFill="1" applyBorder="1"/>
    <xf numFmtId="0" fontId="47" fillId="22" borderId="78" xfId="0" applyFont="1" applyFill="1" applyBorder="1"/>
    <xf numFmtId="0" fontId="41" fillId="0" borderId="0" xfId="0" applyFont="1" applyAlignment="1">
      <alignment horizontal="center" wrapText="1"/>
    </xf>
    <xf numFmtId="6" fontId="42" fillId="0" borderId="0" xfId="0" applyNumberFormat="1" applyFont="1" applyAlignment="1">
      <alignment horizontal="center" vertical="center"/>
    </xf>
    <xf numFmtId="0" fontId="34" fillId="0" borderId="0" xfId="0" applyFont="1" applyAlignment="1">
      <alignment horizontal="center" wrapText="1"/>
    </xf>
    <xf numFmtId="0" fontId="47" fillId="22" borderId="94" xfId="0" applyFont="1" applyFill="1" applyBorder="1"/>
    <xf numFmtId="0" fontId="47" fillId="22" borderId="0" xfId="0" applyFont="1" applyFill="1"/>
    <xf numFmtId="0" fontId="47" fillId="22" borderId="52" xfId="0" applyFont="1" applyFill="1" applyBorder="1"/>
    <xf numFmtId="0" fontId="41" fillId="0" borderId="59" xfId="0" applyFont="1" applyBorder="1" applyAlignment="1">
      <alignment horizontal="center" wrapText="1"/>
    </xf>
    <xf numFmtId="0" fontId="47" fillId="22" borderId="52" xfId="0" applyFont="1" applyFill="1" applyBorder="1" applyAlignment="1">
      <alignment shrinkToFit="1"/>
    </xf>
    <xf numFmtId="0" fontId="47" fillId="0" borderId="0" xfId="0" applyFont="1" applyAlignment="1">
      <alignment horizontal="left"/>
    </xf>
    <xf numFmtId="6" fontId="47" fillId="0" borderId="0" xfId="0" applyNumberFormat="1" applyFont="1" applyAlignment="1">
      <alignment horizontal="center"/>
    </xf>
    <xf numFmtId="0" fontId="47" fillId="0" borderId="0" xfId="0" applyFont="1" applyAlignment="1">
      <alignment horizontal="center"/>
    </xf>
    <xf numFmtId="0" fontId="47" fillId="22" borderId="75" xfId="0" applyFont="1" applyFill="1" applyBorder="1"/>
    <xf numFmtId="0" fontId="47" fillId="22" borderId="77" xfId="0" applyFont="1" applyFill="1" applyBorder="1"/>
    <xf numFmtId="0" fontId="47" fillId="22" borderId="79" xfId="0" applyFont="1" applyFill="1" applyBorder="1"/>
    <xf numFmtId="0" fontId="47" fillId="0" borderId="58" xfId="0" applyFont="1" applyBorder="1"/>
    <xf numFmtId="0" fontId="43" fillId="0" borderId="0" xfId="0" applyFont="1" applyAlignment="1">
      <alignment horizontal="right"/>
    </xf>
    <xf numFmtId="0" fontId="43" fillId="0" borderId="59" xfId="0" applyFont="1" applyBorder="1" applyAlignment="1">
      <alignment horizontal="center"/>
    </xf>
    <xf numFmtId="0" fontId="43" fillId="11" borderId="59" xfId="0" applyFont="1" applyFill="1" applyBorder="1" applyAlignment="1">
      <alignment horizontal="center"/>
    </xf>
    <xf numFmtId="0" fontId="34" fillId="22" borderId="59" xfId="0" applyFont="1" applyFill="1" applyBorder="1" applyAlignment="1">
      <alignment horizontal="center" wrapText="1"/>
    </xf>
    <xf numFmtId="0" fontId="43" fillId="11" borderId="157" xfId="0" applyFont="1" applyFill="1" applyBorder="1" applyAlignment="1">
      <alignment horizontal="center" wrapText="1"/>
    </xf>
    <xf numFmtId="0" fontId="43" fillId="11" borderId="59" xfId="0" applyFont="1" applyFill="1" applyBorder="1" applyAlignment="1">
      <alignment horizontal="center" wrapText="1"/>
    </xf>
    <xf numFmtId="0" fontId="43" fillId="11" borderId="158" xfId="0" applyFont="1" applyFill="1" applyBorder="1" applyAlignment="1">
      <alignment horizontal="center" wrapText="1"/>
    </xf>
    <xf numFmtId="0" fontId="47" fillId="0" borderId="0" xfId="0" applyFont="1" applyAlignment="1">
      <alignment horizontal="right"/>
    </xf>
    <xf numFmtId="6" fontId="47" fillId="12" borderId="161" xfId="0" applyNumberFormat="1" applyFont="1" applyFill="1" applyBorder="1" applyAlignment="1">
      <alignment horizontal="center"/>
    </xf>
    <xf numFmtId="6" fontId="47" fillId="22" borderId="162" xfId="0" applyNumberFormat="1" applyFont="1" applyFill="1" applyBorder="1" applyAlignment="1">
      <alignment horizontal="center"/>
    </xf>
    <xf numFmtId="6" fontId="47" fillId="12" borderId="162" xfId="0" applyNumberFormat="1" applyFont="1" applyFill="1" applyBorder="1" applyAlignment="1">
      <alignment horizontal="center"/>
    </xf>
    <xf numFmtId="6" fontId="47" fillId="12" borderId="163" xfId="0" applyNumberFormat="1" applyFont="1" applyFill="1" applyBorder="1" applyAlignment="1">
      <alignment horizontal="center"/>
    </xf>
    <xf numFmtId="6" fontId="47" fillId="12" borderId="164" xfId="0" applyNumberFormat="1" applyFont="1" applyFill="1" applyBorder="1" applyAlignment="1">
      <alignment horizontal="center"/>
    </xf>
    <xf numFmtId="6" fontId="47" fillId="22" borderId="165" xfId="0" applyNumberFormat="1" applyFont="1" applyFill="1" applyBorder="1" applyAlignment="1">
      <alignment horizontal="center"/>
    </xf>
    <xf numFmtId="6" fontId="47" fillId="12" borderId="165" xfId="0" applyNumberFormat="1" applyFont="1" applyFill="1" applyBorder="1" applyAlignment="1">
      <alignment horizontal="center"/>
    </xf>
    <xf numFmtId="6" fontId="47" fillId="12" borderId="166" xfId="0" applyNumberFormat="1" applyFont="1" applyFill="1" applyBorder="1" applyAlignment="1">
      <alignment horizontal="center"/>
    </xf>
    <xf numFmtId="6" fontId="47" fillId="12" borderId="167" xfId="0" applyNumberFormat="1" applyFont="1" applyFill="1" applyBorder="1" applyAlignment="1">
      <alignment horizontal="center"/>
    </xf>
    <xf numFmtId="6" fontId="47" fillId="22" borderId="168" xfId="0" applyNumberFormat="1" applyFont="1" applyFill="1" applyBorder="1" applyAlignment="1">
      <alignment horizontal="center"/>
    </xf>
    <xf numFmtId="6" fontId="47" fillId="12" borderId="168" xfId="0" applyNumberFormat="1" applyFont="1" applyFill="1" applyBorder="1" applyAlignment="1">
      <alignment horizontal="center"/>
    </xf>
    <xf numFmtId="6" fontId="47" fillId="12" borderId="169" xfId="0" applyNumberFormat="1" applyFont="1" applyFill="1" applyBorder="1" applyAlignment="1">
      <alignment horizontal="center"/>
    </xf>
    <xf numFmtId="0" fontId="44" fillId="0" borderId="0" xfId="0" applyFont="1" applyAlignment="1">
      <alignment horizontal="right"/>
    </xf>
    <xf numFmtId="9" fontId="47" fillId="0" borderId="0" xfId="0" applyNumberFormat="1" applyFont="1"/>
    <xf numFmtId="0" fontId="35" fillId="0" borderId="61" xfId="0" applyFont="1" applyBorder="1"/>
    <xf numFmtId="0" fontId="35" fillId="0" borderId="62" xfId="0" applyFont="1" applyBorder="1"/>
    <xf numFmtId="4" fontId="35" fillId="0" borderId="0" xfId="0" applyNumberFormat="1" applyFont="1" applyAlignment="1">
      <alignment horizontal="center"/>
    </xf>
    <xf numFmtId="0" fontId="34" fillId="0" borderId="0" xfId="0" applyFont="1"/>
    <xf numFmtId="164" fontId="35" fillId="0" borderId="0" xfId="0" applyNumberFormat="1" applyFont="1" applyAlignment="1">
      <alignment horizontal="center"/>
    </xf>
    <xf numFmtId="0" fontId="34" fillId="0" borderId="0" xfId="0" applyFont="1" applyAlignment="1">
      <alignment horizontal="left"/>
    </xf>
    <xf numFmtId="3" fontId="35" fillId="0" borderId="0" xfId="0" applyNumberFormat="1" applyFont="1"/>
    <xf numFmtId="3" fontId="35" fillId="0" borderId="0" xfId="0" applyNumberFormat="1" applyFont="1" applyAlignment="1">
      <alignment horizontal="center"/>
    </xf>
    <xf numFmtId="0" fontId="34" fillId="0" borderId="0" xfId="0" applyFont="1" applyAlignment="1">
      <alignment horizontal="right"/>
    </xf>
    <xf numFmtId="168" fontId="35" fillId="0" borderId="0" xfId="0" applyNumberFormat="1" applyFont="1" applyAlignment="1">
      <alignment horizontal="center"/>
    </xf>
    <xf numFmtId="164" fontId="43" fillId="0" borderId="0" xfId="0" applyNumberFormat="1" applyFont="1" applyAlignment="1">
      <alignment horizontal="right"/>
    </xf>
    <xf numFmtId="1" fontId="68" fillId="0" borderId="0" xfId="0" applyNumberFormat="1" applyFont="1" applyAlignment="1">
      <alignment horizontal="center"/>
    </xf>
    <xf numFmtId="0" fontId="51" fillId="2" borderId="0" xfId="0" applyFont="1" applyFill="1" applyAlignment="1">
      <alignment vertical="top" wrapText="1"/>
    </xf>
    <xf numFmtId="0" fontId="48" fillId="0" borderId="0" xfId="0" applyFont="1"/>
    <xf numFmtId="0" fontId="54" fillId="0" borderId="0" xfId="0" applyFont="1" applyAlignment="1">
      <alignment horizontal="left" vertical="center"/>
    </xf>
    <xf numFmtId="0" fontId="56" fillId="15" borderId="0" xfId="0" applyFont="1" applyFill="1" applyAlignment="1">
      <alignment vertical="center" wrapText="1"/>
    </xf>
    <xf numFmtId="0" fontId="57" fillId="15" borderId="0" xfId="0" applyFont="1" applyFill="1"/>
    <xf numFmtId="0" fontId="56" fillId="15" borderId="0" xfId="0" applyFont="1" applyFill="1" applyAlignment="1">
      <alignment horizontal="center" vertical="center" wrapText="1"/>
    </xf>
    <xf numFmtId="0" fontId="51" fillId="0" borderId="0" xfId="0" applyFont="1" applyAlignment="1">
      <alignment horizontal="right" vertical="center" wrapText="1"/>
    </xf>
    <xf numFmtId="0" fontId="56" fillId="0" borderId="0" xfId="0" applyFont="1" applyAlignment="1">
      <alignment horizontal="center" vertical="center" wrapText="1"/>
    </xf>
    <xf numFmtId="0" fontId="47" fillId="0" borderId="0" xfId="0" applyFont="1" applyAlignment="1">
      <alignment horizontal="center" vertical="center"/>
    </xf>
    <xf numFmtId="0" fontId="54" fillId="14" borderId="0" xfId="0" applyFont="1" applyFill="1" applyAlignment="1">
      <alignment horizontal="center" vertical="center"/>
    </xf>
    <xf numFmtId="0" fontId="47" fillId="14" borderId="0" xfId="0" applyFont="1" applyFill="1" applyAlignment="1">
      <alignment horizontal="center" vertical="center"/>
    </xf>
    <xf numFmtId="0" fontId="47" fillId="14" borderId="0" xfId="0" applyFont="1" applyFill="1"/>
    <xf numFmtId="0" fontId="68" fillId="14" borderId="0" xfId="0" applyFont="1" applyFill="1" applyAlignment="1">
      <alignment horizontal="center"/>
    </xf>
    <xf numFmtId="0" fontId="49" fillId="14" borderId="0" xfId="0" applyFont="1" applyFill="1" applyAlignment="1">
      <alignment vertical="center"/>
    </xf>
    <xf numFmtId="0" fontId="54" fillId="14" borderId="0" xfId="0" applyFont="1" applyFill="1" applyAlignment="1">
      <alignment horizontal="left" vertical="top" wrapText="1"/>
    </xf>
    <xf numFmtId="0" fontId="54" fillId="14" borderId="0" xfId="0" applyFont="1" applyFill="1" applyAlignment="1">
      <alignment vertical="top" wrapText="1"/>
    </xf>
    <xf numFmtId="0" fontId="55" fillId="14" borderId="0" xfId="0" applyFont="1" applyFill="1" applyAlignment="1">
      <alignment horizontal="left" vertical="center"/>
    </xf>
    <xf numFmtId="0" fontId="59" fillId="15" borderId="0" xfId="0" applyFont="1" applyFill="1" applyAlignment="1">
      <alignment horizontal="center" vertical="top" wrapText="1"/>
    </xf>
    <xf numFmtId="0" fontId="56" fillId="14" borderId="0" xfId="0" applyFont="1" applyFill="1" applyAlignment="1">
      <alignment horizontal="center" vertical="center" wrapText="1"/>
    </xf>
    <xf numFmtId="0" fontId="56" fillId="14" borderId="0" xfId="0" applyFont="1" applyFill="1" applyAlignment="1">
      <alignment horizontal="center" vertical="top" wrapText="1"/>
    </xf>
    <xf numFmtId="0" fontId="51" fillId="14" borderId="0" xfId="0" applyFont="1" applyFill="1" applyAlignment="1">
      <alignment vertical="top"/>
    </xf>
    <xf numFmtId="0" fontId="56" fillId="15" borderId="0" xfId="0" applyFont="1" applyFill="1" applyAlignment="1">
      <alignment horizontal="center" vertical="top" wrapText="1"/>
    </xf>
    <xf numFmtId="0" fontId="49" fillId="0" borderId="0" xfId="0" applyFont="1" applyAlignment="1">
      <alignment vertical="center"/>
    </xf>
    <xf numFmtId="0" fontId="54" fillId="0" borderId="0" xfId="0" applyFont="1" applyAlignment="1">
      <alignment horizontal="left" vertical="top" wrapText="1"/>
    </xf>
    <xf numFmtId="0" fontId="54" fillId="0" borderId="0" xfId="0" applyFont="1" applyAlignment="1">
      <alignment vertical="top" wrapText="1"/>
    </xf>
    <xf numFmtId="0" fontId="55" fillId="0" borderId="0" xfId="0" applyFont="1" applyAlignment="1">
      <alignment horizontal="left" vertical="center"/>
    </xf>
    <xf numFmtId="0" fontId="56" fillId="0" borderId="0" xfId="0" applyFont="1" applyAlignment="1">
      <alignment horizontal="center" vertical="top" wrapText="1"/>
    </xf>
    <xf numFmtId="0" fontId="49" fillId="0" borderId="0" xfId="0" applyFont="1" applyAlignment="1">
      <alignment vertical="top"/>
    </xf>
    <xf numFmtId="0" fontId="51" fillId="0" borderId="0" xfId="0" applyFont="1" applyAlignment="1">
      <alignment vertical="top"/>
    </xf>
    <xf numFmtId="0" fontId="47" fillId="6" borderId="0" xfId="0" applyFont="1" applyFill="1" applyAlignment="1">
      <alignment horizontal="center" vertical="center"/>
    </xf>
    <xf numFmtId="0" fontId="55" fillId="0" borderId="0" xfId="0" applyFont="1" applyAlignment="1">
      <alignment horizontal="center" vertical="center"/>
    </xf>
    <xf numFmtId="0" fontId="47" fillId="2" borderId="0" xfId="0" applyFont="1" applyFill="1" applyAlignment="1">
      <alignment horizontal="center" vertical="center"/>
    </xf>
    <xf numFmtId="0" fontId="51" fillId="5" borderId="0" xfId="0" applyFont="1" applyFill="1" applyAlignment="1">
      <alignment vertical="center"/>
    </xf>
    <xf numFmtId="0" fontId="44" fillId="6" borderId="0" xfId="0" applyFont="1" applyFill="1" applyAlignment="1">
      <alignment horizontal="center" vertical="center"/>
    </xf>
    <xf numFmtId="0" fontId="54" fillId="6" borderId="0" xfId="0" applyFont="1" applyFill="1" applyAlignment="1">
      <alignment horizontal="center" vertical="center"/>
    </xf>
    <xf numFmtId="0" fontId="62" fillId="6" borderId="0" xfId="0" applyFont="1" applyFill="1" applyAlignment="1">
      <alignment vertical="top" wrapText="1"/>
    </xf>
    <xf numFmtId="0" fontId="56" fillId="6" borderId="0" xfId="0" applyFont="1" applyFill="1" applyAlignment="1">
      <alignment vertical="center" wrapText="1"/>
    </xf>
    <xf numFmtId="0" fontId="47" fillId="5" borderId="0" xfId="0" applyFont="1" applyFill="1" applyAlignment="1">
      <alignment horizontal="center" vertical="center"/>
    </xf>
    <xf numFmtId="0" fontId="56" fillId="5" borderId="0" xfId="0" applyFont="1" applyFill="1" applyAlignment="1">
      <alignment vertical="center" wrapText="1"/>
    </xf>
    <xf numFmtId="0" fontId="60" fillId="6" borderId="0" xfId="0" applyFont="1" applyFill="1" applyAlignment="1">
      <alignment horizontal="center" vertical="top" wrapText="1"/>
    </xf>
    <xf numFmtId="0" fontId="47" fillId="16" borderId="0" xfId="0" applyFont="1" applyFill="1" applyAlignment="1">
      <alignment horizontal="center" vertical="center"/>
    </xf>
    <xf numFmtId="0" fontId="55" fillId="16" borderId="0" xfId="0" applyFont="1" applyFill="1" applyAlignment="1">
      <alignment vertical="center" wrapText="1"/>
    </xf>
    <xf numFmtId="0" fontId="55" fillId="16" borderId="0" xfId="0" applyFont="1" applyFill="1" applyAlignment="1">
      <alignment vertical="top" wrapText="1"/>
    </xf>
    <xf numFmtId="0" fontId="56" fillId="6" borderId="0" xfId="0" applyFont="1" applyFill="1" applyAlignment="1">
      <alignment horizontal="center" vertical="center" wrapText="1"/>
    </xf>
    <xf numFmtId="0" fontId="47" fillId="6" borderId="0" xfId="0" applyFont="1" applyFill="1"/>
    <xf numFmtId="0" fontId="51" fillId="6" borderId="0" xfId="0" applyFont="1" applyFill="1" applyAlignment="1">
      <alignment vertical="center" wrapText="1"/>
    </xf>
    <xf numFmtId="0" fontId="55" fillId="6" borderId="0" xfId="0" applyFont="1" applyFill="1" applyAlignment="1">
      <alignment vertical="center" wrapText="1"/>
    </xf>
    <xf numFmtId="164" fontId="51" fillId="15" borderId="97" xfId="0" applyNumberFormat="1" applyFont="1" applyFill="1" applyBorder="1" applyAlignment="1">
      <alignment horizontal="center" vertical="center"/>
    </xf>
    <xf numFmtId="164" fontId="51" fillId="15" borderId="0" xfId="0" applyNumberFormat="1" applyFont="1" applyFill="1" applyAlignment="1">
      <alignment horizontal="center" vertical="center"/>
    </xf>
    <xf numFmtId="0" fontId="60" fillId="6" borderId="0" xfId="0" applyFont="1" applyFill="1" applyAlignment="1">
      <alignment horizontal="center" vertical="top"/>
    </xf>
    <xf numFmtId="0" fontId="19" fillId="10" borderId="128" xfId="0" applyFont="1" applyFill="1" applyBorder="1" applyAlignment="1">
      <alignment horizontal="center" vertical="center"/>
    </xf>
    <xf numFmtId="165" fontId="19" fillId="10" borderId="127" xfId="0" applyNumberFormat="1" applyFont="1" applyFill="1" applyBorder="1" applyAlignment="1">
      <alignment horizontal="center" vertical="center"/>
    </xf>
    <xf numFmtId="165" fontId="19" fillId="10" borderId="129" xfId="0" applyNumberFormat="1" applyFont="1" applyFill="1" applyBorder="1" applyAlignment="1">
      <alignment horizontal="center" vertical="center"/>
    </xf>
    <xf numFmtId="0" fontId="19" fillId="10" borderId="131" xfId="0" applyFont="1" applyFill="1" applyBorder="1" applyAlignment="1">
      <alignment horizontal="center" vertical="center"/>
    </xf>
    <xf numFmtId="164" fontId="44" fillId="12" borderId="38" xfId="0" applyNumberFormat="1" applyFont="1" applyFill="1" applyBorder="1" applyAlignment="1">
      <alignment horizontal="center"/>
    </xf>
    <xf numFmtId="164" fontId="44" fillId="12" borderId="40" xfId="0" applyNumberFormat="1" applyFont="1" applyFill="1" applyBorder="1" applyAlignment="1">
      <alignment horizontal="center"/>
    </xf>
    <xf numFmtId="0" fontId="29" fillId="13" borderId="93" xfId="0" applyFont="1" applyFill="1" applyBorder="1" applyAlignment="1">
      <alignment horizontal="center" vertical="center" wrapText="1"/>
    </xf>
    <xf numFmtId="164" fontId="112" fillId="13" borderId="93" xfId="0" applyNumberFormat="1" applyFont="1" applyFill="1" applyBorder="1" applyAlignment="1" applyProtection="1">
      <alignment horizontal="center" vertical="center" wrapText="1"/>
      <protection hidden="1"/>
    </xf>
    <xf numFmtId="164" fontId="51" fillId="4" borderId="182" xfId="2" applyNumberFormat="1" applyFont="1" applyFill="1" applyBorder="1" applyAlignment="1" applyProtection="1">
      <alignment horizontal="center" vertical="center"/>
      <protection locked="0"/>
    </xf>
    <xf numFmtId="10" fontId="51" fillId="4" borderId="182" xfId="2" applyNumberFormat="1" applyFont="1" applyFill="1" applyBorder="1" applyAlignment="1" applyProtection="1">
      <alignment horizontal="center" vertical="center"/>
      <protection locked="0"/>
    </xf>
    <xf numFmtId="10" fontId="51" fillId="4" borderId="182" xfId="3" applyNumberFormat="1" applyFont="1" applyFill="1" applyBorder="1" applyAlignment="1" applyProtection="1">
      <alignment horizontal="center" vertical="center"/>
      <protection locked="0"/>
    </xf>
    <xf numFmtId="10" fontId="51" fillId="7" borderId="182" xfId="0" applyNumberFormat="1" applyFont="1" applyFill="1" applyBorder="1" applyAlignment="1" applyProtection="1">
      <alignment horizontal="center" vertical="center" wrapText="1"/>
      <protection locked="0"/>
    </xf>
    <xf numFmtId="10" fontId="51" fillId="7" borderId="182" xfId="3" applyNumberFormat="1" applyFont="1" applyFill="1" applyBorder="1" applyAlignment="1" applyProtection="1">
      <alignment horizontal="center" vertical="center" wrapText="1"/>
      <protection locked="0"/>
    </xf>
    <xf numFmtId="0" fontId="100" fillId="0" borderId="57" xfId="0" applyFont="1" applyBorder="1"/>
    <xf numFmtId="0" fontId="99" fillId="12" borderId="171" xfId="0" applyFont="1" applyFill="1" applyBorder="1" applyAlignment="1" applyProtection="1">
      <alignment horizontal="center" vertical="center"/>
      <protection locked="0"/>
    </xf>
    <xf numFmtId="164" fontId="76" fillId="5" borderId="103" xfId="0" applyNumberFormat="1" applyFont="1" applyFill="1" applyBorder="1" applyProtection="1">
      <protection hidden="1"/>
    </xf>
    <xf numFmtId="10" fontId="113" fillId="6" borderId="0" xfId="0" applyNumberFormat="1" applyFont="1" applyFill="1" applyAlignment="1" applyProtection="1">
      <alignment horizontal="center"/>
      <protection locked="0"/>
    </xf>
    <xf numFmtId="10" fontId="113" fillId="6" borderId="107" xfId="0" applyNumberFormat="1" applyFont="1" applyFill="1" applyBorder="1" applyAlignment="1" applyProtection="1">
      <alignment horizontal="center"/>
      <protection locked="0"/>
    </xf>
    <xf numFmtId="0" fontId="47" fillId="0" borderId="0" xfId="0" applyFont="1" applyAlignment="1">
      <alignment vertical="center"/>
    </xf>
    <xf numFmtId="167" fontId="44" fillId="19" borderId="142" xfId="0" applyNumberFormat="1" applyFont="1" applyFill="1" applyBorder="1" applyAlignment="1" applyProtection="1">
      <alignment horizontal="center" vertical="center"/>
      <protection locked="0"/>
    </xf>
    <xf numFmtId="167" fontId="44" fillId="19" borderId="53" xfId="0" applyNumberFormat="1" applyFont="1" applyFill="1" applyBorder="1" applyAlignment="1" applyProtection="1">
      <alignment horizontal="center" vertical="center"/>
      <protection locked="0"/>
    </xf>
    <xf numFmtId="167" fontId="44" fillId="19" borderId="54" xfId="0" applyNumberFormat="1" applyFont="1" applyFill="1" applyBorder="1" applyAlignment="1" applyProtection="1">
      <alignment horizontal="center" vertical="center"/>
      <protection locked="0"/>
    </xf>
    <xf numFmtId="167" fontId="44" fillId="0" borderId="143" xfId="0" applyNumberFormat="1" applyFont="1" applyBorder="1" applyAlignment="1" applyProtection="1">
      <alignment horizontal="center" vertical="center"/>
      <protection locked="0"/>
    </xf>
    <xf numFmtId="167" fontId="44" fillId="0" borderId="1" xfId="0" applyNumberFormat="1" applyFont="1" applyBorder="1" applyAlignment="1" applyProtection="1">
      <alignment horizontal="center" vertical="center"/>
      <protection locked="0"/>
    </xf>
    <xf numFmtId="167" fontId="44" fillId="0" borderId="55" xfId="0" applyNumberFormat="1" applyFont="1" applyBorder="1" applyAlignment="1" applyProtection="1">
      <alignment horizontal="center" vertical="center"/>
      <protection locked="0"/>
    </xf>
    <xf numFmtId="0" fontId="114" fillId="0" borderId="0" xfId="0" applyFont="1" applyAlignment="1">
      <alignment vertical="center"/>
    </xf>
    <xf numFmtId="0" fontId="100" fillId="0" borderId="0" xfId="0" applyFont="1" applyAlignment="1">
      <alignment vertical="center"/>
    </xf>
    <xf numFmtId="0" fontId="116" fillId="0" borderId="0" xfId="0" applyFont="1"/>
    <xf numFmtId="171" fontId="54" fillId="26" borderId="133" xfId="0" applyNumberFormat="1" applyFont="1" applyFill="1" applyBorder="1" applyAlignment="1" applyProtection="1">
      <alignment horizontal="center" vertical="center"/>
      <protection locked="0"/>
    </xf>
    <xf numFmtId="0" fontId="117" fillId="2" borderId="0" xfId="0" applyFont="1" applyFill="1"/>
    <xf numFmtId="0" fontId="34" fillId="26" borderId="0" xfId="0" applyFont="1" applyFill="1" applyAlignment="1" applyProtection="1">
      <alignment vertical="center"/>
      <protection locked="0"/>
    </xf>
    <xf numFmtId="0" fontId="97" fillId="26" borderId="0" xfId="0" applyFont="1" applyFill="1" applyAlignment="1" applyProtection="1">
      <alignment horizontal="center" vertical="center" wrapText="1"/>
      <protection locked="0"/>
    </xf>
    <xf numFmtId="0" fontId="104" fillId="26" borderId="0" xfId="0" applyFont="1" applyFill="1" applyAlignment="1" applyProtection="1">
      <alignment horizontal="center" vertical="center" wrapText="1"/>
      <protection locked="0"/>
    </xf>
    <xf numFmtId="0" fontId="34" fillId="26" borderId="0" xfId="0" applyFont="1" applyFill="1" applyAlignment="1" applyProtection="1">
      <alignment horizontal="center" vertical="center" wrapText="1"/>
      <protection locked="0"/>
    </xf>
    <xf numFmtId="0" fontId="104" fillId="26" borderId="103" xfId="0" applyFont="1" applyFill="1" applyBorder="1" applyAlignment="1" applyProtection="1">
      <alignment horizontal="center" vertical="center" wrapText="1"/>
      <protection locked="0"/>
    </xf>
    <xf numFmtId="0" fontId="95" fillId="25" borderId="0" xfId="0" applyFont="1" applyFill="1" applyAlignment="1" applyProtection="1">
      <alignment horizontal="center" vertical="center" wrapText="1"/>
      <protection locked="0"/>
    </xf>
    <xf numFmtId="0" fontId="95" fillId="25" borderId="0" xfId="0" applyFont="1" applyFill="1" applyAlignment="1" applyProtection="1">
      <alignment horizontal="left" vertical="center" wrapText="1"/>
      <protection locked="0"/>
    </xf>
    <xf numFmtId="0" fontId="36" fillId="0" borderId="0" xfId="0" applyFont="1" applyProtection="1">
      <protection locked="0"/>
    </xf>
    <xf numFmtId="0" fontId="95" fillId="25" borderId="103" xfId="0" applyFont="1" applyFill="1" applyBorder="1" applyAlignment="1" applyProtection="1">
      <alignment horizontal="left" vertical="center" wrapText="1"/>
      <protection locked="0"/>
    </xf>
    <xf numFmtId="0" fontId="0" fillId="0" borderId="94" xfId="0" applyBorder="1" applyAlignment="1">
      <alignment wrapText="1"/>
    </xf>
    <xf numFmtId="0" fontId="55" fillId="12" borderId="0" xfId="0" applyFont="1" applyFill="1" applyAlignment="1">
      <alignment vertical="top" wrapText="1"/>
    </xf>
    <xf numFmtId="0" fontId="56" fillId="12" borderId="0" xfId="0" applyFont="1" applyFill="1" applyAlignment="1">
      <alignment vertical="center" wrapText="1"/>
    </xf>
    <xf numFmtId="0" fontId="47" fillId="12" borderId="0" xfId="0" applyFont="1" applyFill="1"/>
    <xf numFmtId="0" fontId="48" fillId="12" borderId="0" xfId="0" applyFont="1" applyFill="1" applyAlignment="1">
      <alignment vertical="center" wrapText="1"/>
    </xf>
    <xf numFmtId="0" fontId="48" fillId="12" borderId="0" xfId="0" applyFont="1" applyFill="1" applyAlignment="1">
      <alignment horizontal="left" vertical="top"/>
    </xf>
    <xf numFmtId="0" fontId="47" fillId="12" borderId="139" xfId="0" applyFont="1" applyFill="1" applyBorder="1"/>
    <xf numFmtId="0" fontId="67" fillId="12" borderId="0" xfId="0" applyFont="1" applyFill="1" applyAlignment="1">
      <alignment vertical="center"/>
    </xf>
    <xf numFmtId="0" fontId="43" fillId="12" borderId="0" xfId="0" applyFont="1" applyFill="1" applyAlignment="1">
      <alignment horizontal="center" vertical="center" wrapText="1"/>
    </xf>
    <xf numFmtId="0" fontId="43" fillId="12" borderId="0" xfId="0" applyFont="1" applyFill="1" applyAlignment="1">
      <alignment vertical="top" wrapText="1"/>
    </xf>
    <xf numFmtId="0" fontId="43" fillId="12" borderId="0" xfId="0" applyFont="1" applyFill="1"/>
    <xf numFmtId="0" fontId="1" fillId="21" borderId="0" xfId="0" applyFont="1" applyFill="1" applyAlignment="1">
      <alignment wrapText="1"/>
    </xf>
    <xf numFmtId="0" fontId="13" fillId="20" borderId="94" xfId="0" applyFont="1" applyFill="1" applyBorder="1" applyAlignment="1">
      <alignment wrapText="1"/>
    </xf>
    <xf numFmtId="0" fontId="1" fillId="31" borderId="94" xfId="0" applyFont="1" applyFill="1" applyBorder="1" applyAlignment="1">
      <alignment wrapText="1"/>
    </xf>
    <xf numFmtId="0" fontId="1" fillId="31" borderId="0" xfId="0" applyFont="1" applyFill="1" applyAlignment="1">
      <alignment wrapText="1"/>
    </xf>
    <xf numFmtId="0" fontId="1" fillId="31" borderId="52" xfId="0" applyFont="1" applyFill="1" applyBorder="1" applyAlignment="1">
      <alignment wrapText="1"/>
    </xf>
    <xf numFmtId="0" fontId="13" fillId="25" borderId="0" xfId="0" applyFont="1" applyFill="1" applyAlignment="1">
      <alignment wrapText="1"/>
    </xf>
    <xf numFmtId="43" fontId="0" fillId="0" borderId="94" xfId="1" applyFont="1" applyBorder="1"/>
    <xf numFmtId="43" fontId="0" fillId="0" borderId="0" xfId="1" applyFont="1"/>
    <xf numFmtId="43" fontId="0" fillId="0" borderId="52" xfId="0" applyNumberFormat="1" applyBorder="1"/>
    <xf numFmtId="0" fontId="1" fillId="0" borderId="76" xfId="0" applyFont="1" applyBorder="1"/>
    <xf numFmtId="10" fontId="0" fillId="0" borderId="77" xfId="0" applyNumberFormat="1" applyBorder="1"/>
    <xf numFmtId="0" fontId="106" fillId="0" borderId="0" xfId="0" applyFont="1" applyAlignment="1">
      <alignment vertical="top" wrapText="1"/>
    </xf>
    <xf numFmtId="0" fontId="42" fillId="0" borderId="0" xfId="0" applyFont="1"/>
    <xf numFmtId="0" fontId="62" fillId="6" borderId="0" xfId="0" applyFont="1" applyFill="1" applyAlignment="1">
      <alignment vertical="center" wrapText="1" shrinkToFit="1"/>
    </xf>
    <xf numFmtId="166" fontId="62" fillId="2" borderId="146" xfId="0" applyNumberFormat="1" applyFont="1" applyFill="1" applyBorder="1" applyAlignment="1">
      <alignment vertical="center"/>
    </xf>
    <xf numFmtId="0" fontId="88" fillId="2" borderId="159" xfId="0" applyFont="1" applyFill="1" applyBorder="1" applyAlignment="1">
      <alignment horizontal="center" vertical="top" wrapText="1"/>
    </xf>
    <xf numFmtId="0" fontId="95" fillId="6" borderId="188" xfId="3" applyNumberFormat="1" applyFont="1" applyFill="1" applyBorder="1" applyAlignment="1" applyProtection="1">
      <alignment horizontal="center" vertical="center" wrapText="1"/>
      <protection locked="0"/>
    </xf>
    <xf numFmtId="14" fontId="35" fillId="6" borderId="188" xfId="0" applyNumberFormat="1" applyFont="1" applyFill="1" applyBorder="1" applyAlignment="1" applyProtection="1">
      <alignment horizontal="center" vertical="center"/>
      <protection locked="0"/>
    </xf>
    <xf numFmtId="0" fontId="35" fillId="6" borderId="189" xfId="2" applyNumberFormat="1" applyFont="1" applyFill="1" applyBorder="1" applyAlignment="1" applyProtection="1">
      <alignment horizontal="center"/>
      <protection locked="0"/>
    </xf>
    <xf numFmtId="173" fontId="95" fillId="6" borderId="188" xfId="1" applyNumberFormat="1" applyFont="1" applyFill="1" applyBorder="1" applyAlignment="1" applyProtection="1">
      <alignment horizontal="center"/>
      <protection locked="0"/>
    </xf>
    <xf numFmtId="164" fontId="37" fillId="5" borderId="91" xfId="0" applyNumberFormat="1" applyFont="1" applyFill="1" applyBorder="1" applyProtection="1">
      <protection hidden="1"/>
    </xf>
    <xf numFmtId="164" fontId="47" fillId="5" borderId="190" xfId="0" applyNumberFormat="1" applyFont="1" applyFill="1" applyBorder="1"/>
    <xf numFmtId="9" fontId="0" fillId="0" borderId="0" xfId="3" applyFont="1"/>
    <xf numFmtId="0" fontId="1" fillId="0" borderId="74" xfId="0" applyFont="1" applyBorder="1"/>
    <xf numFmtId="0" fontId="1" fillId="0" borderId="94" xfId="0" applyFont="1" applyBorder="1"/>
    <xf numFmtId="9" fontId="0" fillId="0" borderId="76" xfId="0" applyNumberFormat="1" applyBorder="1"/>
    <xf numFmtId="9" fontId="0" fillId="0" borderId="78" xfId="0" applyNumberFormat="1" applyBorder="1" applyAlignment="1">
      <alignment wrapText="1"/>
    </xf>
    <xf numFmtId="9" fontId="0" fillId="0" borderId="52" xfId="0" applyNumberFormat="1" applyBorder="1" applyAlignment="1">
      <alignment wrapText="1"/>
    </xf>
    <xf numFmtId="0" fontId="36" fillId="0" borderId="0" xfId="0" applyFont="1" applyAlignment="1" applyProtection="1">
      <alignment wrapText="1"/>
      <protection hidden="1"/>
    </xf>
    <xf numFmtId="0" fontId="95" fillId="0" borderId="0" xfId="0" applyFont="1" applyAlignment="1" applyProtection="1">
      <alignment horizontal="center" wrapText="1"/>
      <protection hidden="1"/>
    </xf>
    <xf numFmtId="9" fontId="35" fillId="0" borderId="0" xfId="3" quotePrefix="1" applyFont="1" applyProtection="1">
      <protection hidden="1"/>
    </xf>
    <xf numFmtId="9" fontId="34" fillId="0" borderId="0" xfId="0" applyNumberFormat="1" applyFont="1" applyAlignment="1" applyProtection="1">
      <alignment vertical="center"/>
      <protection hidden="1"/>
    </xf>
    <xf numFmtId="0" fontId="34" fillId="0" borderId="0" xfId="0" applyFont="1" applyAlignment="1" applyProtection="1">
      <alignment vertical="center"/>
      <protection hidden="1"/>
    </xf>
    <xf numFmtId="0" fontId="47" fillId="0" borderId="0" xfId="0" applyFont="1" applyProtection="1">
      <protection hidden="1"/>
    </xf>
    <xf numFmtId="0" fontId="123" fillId="0" borderId="0" xfId="0" applyFont="1" applyProtection="1">
      <protection hidden="1"/>
    </xf>
    <xf numFmtId="0" fontId="124" fillId="0" borderId="0" xfId="0" applyFont="1" applyAlignment="1" applyProtection="1">
      <alignment horizontal="center"/>
      <protection hidden="1"/>
    </xf>
    <xf numFmtId="164" fontId="41" fillId="12" borderId="91" xfId="0" applyNumberFormat="1" applyFont="1" applyFill="1" applyBorder="1" applyAlignment="1" applyProtection="1">
      <alignment horizontal="center" vertical="center"/>
      <protection hidden="1"/>
    </xf>
    <xf numFmtId="0" fontId="33" fillId="11" borderId="90" xfId="0" applyFont="1" applyFill="1" applyBorder="1" applyAlignment="1" applyProtection="1">
      <alignment horizontal="center" vertical="center" wrapText="1"/>
      <protection hidden="1"/>
    </xf>
    <xf numFmtId="0" fontId="69" fillId="0" borderId="0" xfId="0" applyFont="1" applyAlignment="1" applyProtection="1">
      <alignment horizontal="center"/>
      <protection hidden="1"/>
    </xf>
    <xf numFmtId="0" fontId="41" fillId="0" borderId="0" xfId="0" applyFont="1" applyAlignment="1" applyProtection="1">
      <alignment horizontal="center"/>
      <protection hidden="1"/>
    </xf>
    <xf numFmtId="0" fontId="35" fillId="0" borderId="0" xfId="0" applyFont="1" applyAlignment="1" applyProtection="1">
      <alignment horizontal="right"/>
      <protection hidden="1"/>
    </xf>
    <xf numFmtId="1" fontId="126" fillId="0" borderId="0" xfId="0" applyNumberFormat="1" applyFont="1" applyAlignment="1" applyProtection="1">
      <alignment vertical="center"/>
      <protection hidden="1"/>
    </xf>
    <xf numFmtId="0" fontId="37" fillId="0" borderId="0" xfId="0" applyFont="1" applyAlignment="1" applyProtection="1">
      <alignment horizontal="center" vertical="center" wrapText="1"/>
      <protection hidden="1"/>
    </xf>
    <xf numFmtId="1" fontId="41" fillId="0" borderId="0" xfId="0" applyNumberFormat="1" applyFont="1" applyAlignment="1" applyProtection="1">
      <alignment horizontal="center" vertical="center"/>
      <protection hidden="1"/>
    </xf>
    <xf numFmtId="1" fontId="126" fillId="0" borderId="0" xfId="0" applyNumberFormat="1" applyFont="1" applyAlignment="1" applyProtection="1">
      <alignment horizontal="center" vertical="center"/>
      <protection hidden="1"/>
    </xf>
    <xf numFmtId="164" fontId="126" fillId="0" borderId="0" xfId="0" applyNumberFormat="1" applyFont="1" applyAlignment="1" applyProtection="1">
      <alignment vertical="center"/>
      <protection hidden="1"/>
    </xf>
    <xf numFmtId="0" fontId="44" fillId="0" borderId="0" xfId="0" applyFont="1" applyAlignment="1" applyProtection="1">
      <alignment horizontal="center" vertical="center"/>
      <protection hidden="1"/>
    </xf>
    <xf numFmtId="164" fontId="126" fillId="0" borderId="0" xfId="2" applyNumberFormat="1" applyFont="1" applyAlignment="1" applyProtection="1">
      <alignment vertical="center"/>
      <protection hidden="1"/>
    </xf>
    <xf numFmtId="0" fontId="44" fillId="0" borderId="0" xfId="0" applyFont="1" applyAlignment="1" applyProtection="1">
      <alignment vertical="center"/>
      <protection hidden="1"/>
    </xf>
    <xf numFmtId="0" fontId="44" fillId="2" borderId="0" xfId="0" applyFont="1" applyFill="1" applyProtection="1">
      <protection hidden="1"/>
    </xf>
    <xf numFmtId="173" fontId="0" fillId="0" borderId="0" xfId="1" applyNumberFormat="1" applyFont="1"/>
    <xf numFmtId="173" fontId="0" fillId="0" borderId="77" xfId="1" applyNumberFormat="1" applyFont="1" applyBorder="1"/>
    <xf numFmtId="0" fontId="128" fillId="0" borderId="0" xfId="0" applyFont="1"/>
    <xf numFmtId="0" fontId="129" fillId="0" borderId="0" xfId="0" applyFont="1"/>
    <xf numFmtId="0" fontId="130" fillId="0" borderId="0" xfId="0" applyFont="1" applyAlignment="1">
      <alignment horizontal="center" vertical="center"/>
    </xf>
    <xf numFmtId="0" fontId="132" fillId="0" borderId="0" xfId="0" applyFont="1" applyAlignment="1">
      <alignment vertical="center" wrapText="1"/>
    </xf>
    <xf numFmtId="0" fontId="135" fillId="0" borderId="0" xfId="0" applyFont="1" applyAlignment="1">
      <alignment vertical="center" wrapText="1"/>
    </xf>
    <xf numFmtId="0" fontId="135" fillId="0" borderId="0" xfId="0" applyFont="1" applyAlignment="1">
      <alignment horizontal="center" vertical="center" wrapText="1"/>
    </xf>
    <xf numFmtId="0" fontId="129" fillId="0" borderId="0" xfId="0" applyFont="1" applyAlignment="1">
      <alignment horizontal="right"/>
    </xf>
    <xf numFmtId="0" fontId="136" fillId="0" borderId="0" xfId="0" applyFont="1" applyAlignment="1">
      <alignment horizontal="center" vertical="center" wrapText="1"/>
    </xf>
    <xf numFmtId="0" fontId="137" fillId="0" borderId="0" xfId="0" applyFont="1" applyAlignment="1">
      <alignment vertical="center"/>
    </xf>
    <xf numFmtId="0" fontId="137" fillId="0" borderId="0" xfId="0" applyFont="1"/>
    <xf numFmtId="0" fontId="138" fillId="0" borderId="0" xfId="0" applyFont="1" applyAlignment="1">
      <alignment vertical="center"/>
    </xf>
    <xf numFmtId="0" fontId="139" fillId="0" borderId="0" xfId="0" applyFont="1" applyAlignment="1">
      <alignment horizontal="justify" vertical="center"/>
    </xf>
    <xf numFmtId="0" fontId="139" fillId="0" borderId="0" xfId="0" applyFont="1" applyAlignment="1">
      <alignment vertical="center"/>
    </xf>
    <xf numFmtId="0" fontId="36" fillId="0" borderId="0" xfId="0" applyFont="1" applyAlignment="1" applyProtection="1">
      <alignment horizontal="center" wrapText="1"/>
      <protection hidden="1"/>
    </xf>
    <xf numFmtId="0" fontId="125" fillId="0" borderId="0" xfId="0" applyFont="1" applyProtection="1">
      <protection hidden="1"/>
    </xf>
    <xf numFmtId="0" fontId="140" fillId="0" borderId="0" xfId="0" applyFont="1" applyAlignment="1" applyProtection="1">
      <alignment horizontal="center" wrapText="1"/>
      <protection hidden="1"/>
    </xf>
    <xf numFmtId="0" fontId="36" fillId="0" borderId="0" xfId="0" applyFont="1" applyAlignment="1" applyProtection="1">
      <alignment horizontal="center"/>
      <protection hidden="1"/>
    </xf>
    <xf numFmtId="164" fontId="36" fillId="0" borderId="0" xfId="0" applyNumberFormat="1" applyFont="1" applyAlignment="1" applyProtection="1">
      <alignment horizontal="center"/>
      <protection hidden="1"/>
    </xf>
    <xf numFmtId="0" fontId="141" fillId="2" borderId="0" xfId="0" applyFont="1" applyFill="1" applyAlignment="1" applyProtection="1">
      <alignment vertical="top"/>
      <protection locked="0"/>
    </xf>
    <xf numFmtId="0" fontId="23" fillId="0" borderId="0" xfId="0" applyFont="1" applyAlignment="1">
      <alignment vertical="top"/>
    </xf>
    <xf numFmtId="0" fontId="123" fillId="0" borderId="0" xfId="0" applyFont="1" applyProtection="1">
      <protection locked="0"/>
    </xf>
    <xf numFmtId="0" fontId="1" fillId="0" borderId="75" xfId="0" applyFont="1" applyBorder="1"/>
    <xf numFmtId="9" fontId="0" fillId="0" borderId="77" xfId="0" applyNumberFormat="1" applyBorder="1"/>
    <xf numFmtId="9" fontId="0" fillId="0" borderId="79" xfId="0" applyNumberFormat="1" applyBorder="1" applyAlignment="1">
      <alignment wrapText="1"/>
    </xf>
    <xf numFmtId="0" fontId="100" fillId="0" borderId="0" xfId="0" applyFont="1" applyAlignment="1" applyProtection="1">
      <alignment vertical="top"/>
      <protection hidden="1"/>
    </xf>
    <xf numFmtId="0" fontId="142" fillId="0" borderId="0" xfId="0" applyFont="1" applyAlignment="1">
      <alignment vertical="center"/>
    </xf>
    <xf numFmtId="0" fontId="143" fillId="0" borderId="0" xfId="0" applyFont="1" applyAlignment="1">
      <alignment horizontal="left" vertical="center"/>
    </xf>
    <xf numFmtId="0" fontId="144" fillId="2" borderId="0" xfId="0" applyFont="1" applyFill="1" applyAlignment="1" applyProtection="1">
      <alignment vertical="center"/>
      <protection locked="0"/>
    </xf>
    <xf numFmtId="0" fontId="76" fillId="5" borderId="104" xfId="0" applyFont="1" applyFill="1" applyBorder="1" applyAlignment="1">
      <alignment horizontal="center" vertical="center" wrapText="1"/>
    </xf>
    <xf numFmtId="0" fontId="13" fillId="2" borderId="0" xfId="0" applyFont="1" applyFill="1" applyAlignment="1">
      <alignment vertical="center"/>
    </xf>
    <xf numFmtId="6" fontId="145" fillId="0" borderId="0" xfId="2" applyNumberFormat="1" applyFont="1" applyBorder="1" applyAlignment="1" applyProtection="1">
      <alignment horizontal="center" vertical="center" shrinkToFit="1"/>
    </xf>
    <xf numFmtId="6" fontId="145" fillId="0" borderId="0" xfId="0" applyNumberFormat="1" applyFont="1" applyAlignment="1">
      <alignment horizontal="center" vertical="center" shrinkToFit="1"/>
    </xf>
    <xf numFmtId="10" fontId="145" fillId="0" borderId="0" xfId="0" applyNumberFormat="1" applyFont="1" applyAlignment="1">
      <alignment horizontal="center" vertical="center" shrinkToFit="1"/>
    </xf>
    <xf numFmtId="0" fontId="145" fillId="0" borderId="0" xfId="0" applyFont="1" applyAlignment="1">
      <alignment horizontal="center" vertical="center" shrinkToFit="1"/>
    </xf>
    <xf numFmtId="0" fontId="96" fillId="0" borderId="0" xfId="0" applyFont="1"/>
    <xf numFmtId="14" fontId="96" fillId="0" borderId="0" xfId="0" applyNumberFormat="1" applyFont="1" applyAlignment="1">
      <alignment horizontal="center"/>
    </xf>
    <xf numFmtId="0" fontId="45" fillId="0" borderId="0" xfId="0" applyFont="1" applyAlignment="1">
      <alignment horizontal="right"/>
    </xf>
    <xf numFmtId="0" fontId="146" fillId="0" borderId="0" xfId="0" applyFont="1"/>
    <xf numFmtId="14" fontId="146" fillId="0" borderId="0" xfId="0" applyNumberFormat="1" applyFont="1" applyAlignment="1">
      <alignment horizontal="right"/>
    </xf>
    <xf numFmtId="0" fontId="146" fillId="0" borderId="0" xfId="0" applyFont="1" applyAlignment="1">
      <alignment wrapText="1"/>
    </xf>
    <xf numFmtId="1" fontId="146" fillId="0" borderId="0" xfId="0" applyNumberFormat="1" applyFont="1"/>
    <xf numFmtId="14" fontId="146" fillId="0" borderId="0" xfId="0" applyNumberFormat="1" applyFont="1"/>
    <xf numFmtId="0" fontId="54" fillId="0" borderId="0" xfId="0" applyFont="1" applyProtection="1">
      <protection hidden="1"/>
    </xf>
    <xf numFmtId="0" fontId="55" fillId="0" borderId="0" xfId="0" applyFont="1" applyProtection="1">
      <protection hidden="1"/>
    </xf>
    <xf numFmtId="0" fontId="100" fillId="0" borderId="0" xfId="0" applyFont="1" applyProtection="1">
      <protection hidden="1"/>
    </xf>
    <xf numFmtId="0" fontId="67" fillId="8" borderId="0" xfId="0" applyFont="1" applyFill="1" applyProtection="1">
      <protection hidden="1"/>
    </xf>
    <xf numFmtId="0" fontId="47" fillId="0" borderId="0" xfId="0" applyFont="1" applyAlignment="1" applyProtection="1">
      <alignment vertical="center"/>
      <protection hidden="1"/>
    </xf>
    <xf numFmtId="0" fontId="54" fillId="0" borderId="0" xfId="0" applyFont="1" applyAlignment="1" applyProtection="1">
      <alignment vertical="top"/>
      <protection hidden="1"/>
    </xf>
    <xf numFmtId="0" fontId="47" fillId="0" borderId="0" xfId="0" applyFont="1" applyAlignment="1" applyProtection="1">
      <alignment vertical="top"/>
      <protection hidden="1"/>
    </xf>
    <xf numFmtId="0" fontId="47" fillId="0" borderId="0" xfId="0" applyFont="1" applyAlignment="1" applyProtection="1">
      <alignment horizontal="left" vertical="top" wrapText="1"/>
      <protection hidden="1"/>
    </xf>
    <xf numFmtId="0" fontId="147" fillId="0" borderId="0" xfId="0" applyFont="1" applyAlignment="1" applyProtection="1">
      <alignment horizontal="right"/>
      <protection hidden="1"/>
    </xf>
    <xf numFmtId="0" fontId="47" fillId="0" borderId="0" xfId="0" applyFont="1" applyAlignment="1" applyProtection="1">
      <alignment horizontal="left" wrapText="1"/>
      <protection hidden="1"/>
    </xf>
    <xf numFmtId="0" fontId="148" fillId="0" borderId="0" xfId="0" applyFont="1" applyAlignment="1" applyProtection="1">
      <alignment horizontal="right" vertical="center"/>
      <protection hidden="1"/>
    </xf>
    <xf numFmtId="0" fontId="119" fillId="0" borderId="0" xfId="0" applyFont="1" applyAlignment="1">
      <alignment vertical="center"/>
    </xf>
    <xf numFmtId="0" fontId="149" fillId="8" borderId="0" xfId="0" applyFont="1" applyFill="1" applyProtection="1">
      <protection hidden="1"/>
    </xf>
    <xf numFmtId="0" fontId="47" fillId="0" borderId="0" xfId="0" applyFont="1" applyAlignment="1" applyProtection="1">
      <alignment wrapText="1"/>
      <protection hidden="1"/>
    </xf>
    <xf numFmtId="0" fontId="150" fillId="0" borderId="0" xfId="0" applyFont="1" applyAlignment="1">
      <alignment vertical="center"/>
    </xf>
    <xf numFmtId="0" fontId="150" fillId="0" borderId="0" xfId="0" applyFont="1"/>
    <xf numFmtId="0" fontId="43" fillId="0" borderId="0" xfId="0" applyFont="1" applyProtection="1">
      <protection hidden="1"/>
    </xf>
    <xf numFmtId="0" fontId="38" fillId="0" borderId="0" xfId="0" applyFont="1"/>
    <xf numFmtId="0" fontId="151" fillId="0" borderId="0" xfId="0" applyFont="1"/>
    <xf numFmtId="0" fontId="153" fillId="0" borderId="0" xfId="0" applyFont="1" applyProtection="1">
      <protection hidden="1"/>
    </xf>
    <xf numFmtId="0" fontId="154" fillId="0" borderId="0" xfId="4" applyFont="1"/>
    <xf numFmtId="0" fontId="38" fillId="0" borderId="0" xfId="0" applyFont="1" applyProtection="1">
      <protection hidden="1"/>
    </xf>
    <xf numFmtId="0" fontId="47" fillId="0" borderId="0" xfId="0" applyFont="1" applyAlignment="1">
      <alignment horizontal="left" vertical="top" wrapText="1"/>
    </xf>
    <xf numFmtId="0" fontId="47" fillId="0" borderId="0" xfId="0" applyFont="1" applyAlignment="1">
      <alignment horizontal="left" vertical="center" indent="4"/>
    </xf>
    <xf numFmtId="0" fontId="43" fillId="0" borderId="0" xfId="0" applyFont="1" applyAlignment="1">
      <alignment vertical="center"/>
    </xf>
    <xf numFmtId="0" fontId="47" fillId="0" borderId="0" xfId="0" applyFont="1" applyAlignment="1">
      <alignment horizontal="left" vertical="top"/>
    </xf>
    <xf numFmtId="0" fontId="43" fillId="0" borderId="0" xfId="0" applyFont="1" applyAlignment="1">
      <alignment horizontal="left" vertical="top"/>
    </xf>
    <xf numFmtId="0" fontId="43" fillId="0" borderId="0" xfId="0" applyFont="1" applyAlignment="1">
      <alignment vertical="top"/>
    </xf>
    <xf numFmtId="0" fontId="158" fillId="0" borderId="0" xfId="0" applyFont="1" applyAlignment="1" applyProtection="1">
      <alignment vertical="top"/>
      <protection hidden="1"/>
    </xf>
    <xf numFmtId="0" fontId="19" fillId="21" borderId="130" xfId="0" applyFont="1" applyFill="1" applyBorder="1" applyAlignment="1" applyProtection="1">
      <alignment horizontal="center" vertical="center"/>
      <protection locked="0"/>
    </xf>
    <xf numFmtId="0" fontId="19" fillId="0" borderId="119" xfId="0" applyFont="1" applyBorder="1" applyAlignment="1" applyProtection="1">
      <alignment horizontal="center" vertical="center"/>
      <protection locked="0"/>
    </xf>
    <xf numFmtId="0" fontId="19" fillId="0" borderId="130" xfId="0" applyFont="1" applyBorder="1" applyAlignment="1" applyProtection="1">
      <alignment horizontal="center" vertical="center"/>
      <protection locked="0"/>
    </xf>
    <xf numFmtId="0" fontId="7" fillId="0" borderId="0" xfId="4"/>
    <xf numFmtId="0" fontId="160" fillId="0" borderId="0" xfId="0" applyFont="1"/>
    <xf numFmtId="0" fontId="159" fillId="11" borderId="93" xfId="0" applyFont="1" applyFill="1" applyBorder="1" applyAlignment="1">
      <alignment horizontal="center" vertical="center"/>
    </xf>
    <xf numFmtId="0" fontId="159" fillId="11" borderId="93" xfId="0" applyFont="1" applyFill="1" applyBorder="1" applyAlignment="1">
      <alignment horizontal="left" vertical="center"/>
    </xf>
    <xf numFmtId="0" fontId="159" fillId="11" borderId="93" xfId="0" applyFont="1" applyFill="1" applyBorder="1" applyAlignment="1">
      <alignment horizontal="center" vertical="center" wrapText="1"/>
    </xf>
    <xf numFmtId="167" fontId="166" fillId="32" borderId="191" xfId="3" applyNumberFormat="1" applyFont="1" applyFill="1" applyBorder="1" applyAlignment="1" applyProtection="1">
      <alignment horizontal="center" vertical="center" wrapText="1"/>
      <protection locked="0"/>
    </xf>
    <xf numFmtId="0" fontId="167" fillId="32" borderId="191" xfId="0" applyFont="1" applyFill="1" applyBorder="1" applyAlignment="1" applyProtection="1">
      <alignment vertical="center" wrapText="1"/>
      <protection locked="0"/>
    </xf>
    <xf numFmtId="0" fontId="168" fillId="32" borderId="191" xfId="0" applyFont="1" applyFill="1" applyBorder="1" applyAlignment="1" applyProtection="1">
      <alignment horizontal="center" vertical="center"/>
      <protection locked="0"/>
    </xf>
    <xf numFmtId="164" fontId="169" fillId="32" borderId="191" xfId="2" applyNumberFormat="1" applyFont="1" applyFill="1" applyBorder="1" applyAlignment="1" applyProtection="1">
      <alignment horizontal="center"/>
      <protection locked="0"/>
    </xf>
    <xf numFmtId="10" fontId="170" fillId="32" borderId="0" xfId="0" applyNumberFormat="1" applyFont="1" applyFill="1" applyAlignment="1" applyProtection="1">
      <alignment horizontal="center"/>
      <protection locked="0"/>
    </xf>
    <xf numFmtId="167" fontId="166" fillId="32" borderId="192" xfId="3" applyNumberFormat="1" applyFont="1" applyFill="1" applyBorder="1" applyAlignment="1" applyProtection="1">
      <alignment horizontal="center" vertical="center" wrapText="1"/>
      <protection locked="0"/>
    </xf>
    <xf numFmtId="0" fontId="167" fillId="32" borderId="192" xfId="0" applyFont="1" applyFill="1" applyBorder="1" applyAlignment="1" applyProtection="1">
      <alignment vertical="center" wrapText="1"/>
      <protection locked="0"/>
    </xf>
    <xf numFmtId="0" fontId="168" fillId="32" borderId="192" xfId="0" applyFont="1" applyFill="1" applyBorder="1" applyAlignment="1" applyProtection="1">
      <alignment horizontal="center" vertical="center"/>
      <protection locked="0"/>
    </xf>
    <xf numFmtId="164" fontId="169" fillId="32" borderId="192" xfId="2" applyNumberFormat="1" applyFont="1" applyFill="1" applyBorder="1" applyAlignment="1" applyProtection="1">
      <alignment horizontal="center"/>
      <protection locked="0"/>
    </xf>
    <xf numFmtId="0" fontId="169" fillId="32" borderId="192" xfId="0" applyFont="1" applyFill="1" applyBorder="1" applyAlignment="1" applyProtection="1">
      <alignment vertical="center" wrapText="1"/>
      <protection locked="0"/>
    </xf>
    <xf numFmtId="164" fontId="169" fillId="32" borderId="192" xfId="2" applyNumberFormat="1" applyFont="1" applyFill="1" applyBorder="1" applyAlignment="1" applyProtection="1">
      <alignment horizontal="center" vertical="center"/>
      <protection locked="0"/>
    </xf>
    <xf numFmtId="0" fontId="16" fillId="0" borderId="0" xfId="0" applyFont="1" applyProtection="1">
      <protection locked="0"/>
    </xf>
    <xf numFmtId="0" fontId="52" fillId="15" borderId="0" xfId="0" applyFont="1" applyFill="1" applyAlignment="1">
      <alignment horizontal="center" vertical="center" wrapText="1"/>
    </xf>
    <xf numFmtId="0" fontId="64" fillId="6" borderId="0" xfId="0" applyFont="1" applyFill="1" applyAlignment="1">
      <alignment horizontal="center" vertical="top" wrapText="1"/>
    </xf>
    <xf numFmtId="0" fontId="54" fillId="14" borderId="0" xfId="0" applyFont="1" applyFill="1" applyAlignment="1">
      <alignment horizontal="center" vertical="top" wrapText="1"/>
    </xf>
    <xf numFmtId="0" fontId="55" fillId="14" borderId="0" xfId="0" applyFont="1" applyFill="1" applyAlignment="1">
      <alignment horizontal="center" vertical="top" wrapText="1"/>
    </xf>
    <xf numFmtId="164" fontId="51" fillId="4" borderId="183" xfId="0" applyNumberFormat="1" applyFont="1" applyFill="1" applyBorder="1" applyAlignment="1" applyProtection="1">
      <alignment horizontal="center" vertical="center"/>
      <protection locked="0"/>
    </xf>
    <xf numFmtId="164" fontId="51" fillId="4" borderId="184" xfId="0" applyNumberFormat="1" applyFont="1" applyFill="1" applyBorder="1" applyAlignment="1" applyProtection="1">
      <alignment horizontal="center" vertical="center"/>
      <protection locked="0"/>
    </xf>
    <xf numFmtId="164" fontId="51" fillId="4" borderId="185" xfId="0" applyNumberFormat="1" applyFont="1" applyFill="1" applyBorder="1" applyAlignment="1" applyProtection="1">
      <alignment horizontal="center" vertical="center"/>
      <protection locked="0"/>
    </xf>
    <xf numFmtId="164" fontId="47" fillId="2" borderId="0" xfId="2" applyNumberFormat="1" applyFont="1" applyFill="1" applyBorder="1" applyAlignment="1" applyProtection="1">
      <alignment horizontal="center" vertical="center"/>
    </xf>
    <xf numFmtId="0" fontId="60" fillId="0" borderId="0" xfId="0" applyFont="1" applyAlignment="1">
      <alignment horizontal="center" vertical="top" wrapText="1"/>
    </xf>
    <xf numFmtId="0" fontId="43" fillId="29" borderId="0" xfId="0" applyFont="1" applyFill="1" applyAlignment="1">
      <alignment horizontal="center" vertical="center" wrapText="1"/>
    </xf>
    <xf numFmtId="0" fontId="43" fillId="29" borderId="0" xfId="0" applyFont="1" applyFill="1" applyAlignment="1">
      <alignment horizontal="center" vertical="center"/>
    </xf>
    <xf numFmtId="0" fontId="46" fillId="0" borderId="0" xfId="0" applyFont="1" applyAlignment="1">
      <alignment horizontal="center" vertical="center"/>
    </xf>
    <xf numFmtId="0" fontId="49" fillId="2" borderId="0" xfId="0" applyFont="1" applyFill="1" applyAlignment="1">
      <alignment horizontal="center" wrapText="1"/>
    </xf>
    <xf numFmtId="0" fontId="51" fillId="2" borderId="0" xfId="0" applyFont="1" applyFill="1" applyAlignment="1">
      <alignment horizontal="right" vertical="center" wrapText="1"/>
    </xf>
    <xf numFmtId="0" fontId="60" fillId="6" borderId="0" xfId="0" applyFont="1" applyFill="1" applyAlignment="1">
      <alignment horizontal="center" vertical="top" wrapText="1"/>
    </xf>
    <xf numFmtId="0" fontId="127" fillId="12" borderId="0" xfId="0" applyFont="1" applyFill="1" applyAlignment="1">
      <alignment horizontal="center" vertical="top" wrapText="1"/>
    </xf>
    <xf numFmtId="0" fontId="56" fillId="15" borderId="0" xfId="0" applyFont="1" applyFill="1" applyAlignment="1">
      <alignment horizontal="center" vertical="center" wrapText="1"/>
    </xf>
    <xf numFmtId="0" fontId="118" fillId="12" borderId="0" xfId="0" applyFont="1" applyFill="1" applyAlignment="1">
      <alignment horizontal="right" vertical="top" wrapText="1"/>
    </xf>
    <xf numFmtId="164" fontId="47" fillId="2" borderId="186" xfId="2" applyNumberFormat="1" applyFont="1" applyFill="1" applyBorder="1" applyAlignment="1" applyProtection="1">
      <alignment horizontal="center" vertical="center"/>
      <protection locked="0"/>
    </xf>
    <xf numFmtId="164" fontId="47" fillId="2" borderId="187" xfId="2" applyNumberFormat="1" applyFont="1" applyFill="1" applyBorder="1" applyAlignment="1" applyProtection="1">
      <alignment horizontal="center" vertical="center"/>
      <protection locked="0"/>
    </xf>
    <xf numFmtId="0" fontId="55" fillId="0" borderId="0" xfId="0" applyFont="1" applyAlignment="1">
      <alignment horizontal="center" vertical="top" wrapText="1"/>
    </xf>
    <xf numFmtId="0" fontId="61" fillId="0" borderId="0" xfId="0" applyFont="1" applyAlignment="1">
      <alignment horizontal="center" vertical="center"/>
    </xf>
    <xf numFmtId="0" fontId="49" fillId="6" borderId="0" xfId="0" applyFont="1" applyFill="1" applyAlignment="1">
      <alignment horizontal="right"/>
    </xf>
    <xf numFmtId="0" fontId="49" fillId="5" borderId="0" xfId="0" applyFont="1" applyFill="1" applyAlignment="1">
      <alignment horizontal="center"/>
    </xf>
    <xf numFmtId="0" fontId="51" fillId="6" borderId="0" xfId="0" applyFont="1" applyFill="1" applyAlignment="1">
      <alignment horizontal="right" vertical="center"/>
    </xf>
    <xf numFmtId="0" fontId="55" fillId="5" borderId="0" xfId="0" applyFont="1" applyFill="1" applyAlignment="1">
      <alignment horizontal="center" vertical="center" wrapText="1"/>
    </xf>
    <xf numFmtId="164" fontId="51" fillId="7" borderId="183" xfId="0" applyNumberFormat="1" applyFont="1" applyFill="1" applyBorder="1" applyAlignment="1" applyProtection="1">
      <alignment horizontal="center" vertical="center"/>
      <protection locked="0"/>
    </xf>
    <xf numFmtId="164" fontId="51" fillId="7" borderId="185" xfId="0" applyNumberFormat="1" applyFont="1" applyFill="1" applyBorder="1" applyAlignment="1" applyProtection="1">
      <alignment horizontal="center" vertical="center"/>
      <protection locked="0"/>
    </xf>
    <xf numFmtId="0" fontId="43" fillId="12" borderId="0" xfId="0" applyFont="1" applyFill="1" applyAlignment="1">
      <alignment horizontal="center" vertical="center" wrapText="1"/>
    </xf>
    <xf numFmtId="0" fontId="119" fillId="12" borderId="0" xfId="0" applyFont="1" applyFill="1" applyAlignment="1">
      <alignment horizontal="center" vertical="center" wrapText="1"/>
    </xf>
    <xf numFmtId="166" fontId="62" fillId="2" borderId="111" xfId="0" applyNumberFormat="1" applyFont="1" applyFill="1" applyBorder="1" applyAlignment="1">
      <alignment horizontal="right" vertical="center"/>
    </xf>
    <xf numFmtId="166" fontId="62" fillId="2" borderId="99" xfId="0" applyNumberFormat="1" applyFont="1" applyFill="1" applyBorder="1" applyAlignment="1">
      <alignment horizontal="right" vertical="center"/>
    </xf>
    <xf numFmtId="0" fontId="94" fillId="21" borderId="0" xfId="0" applyFont="1" applyFill="1" applyAlignment="1">
      <alignment horizontal="center" vertical="center"/>
    </xf>
    <xf numFmtId="0" fontId="93" fillId="25" borderId="0" xfId="0" applyFont="1" applyFill="1" applyAlignment="1">
      <alignment horizontal="center" vertical="center"/>
    </xf>
    <xf numFmtId="0" fontId="93" fillId="27" borderId="98" xfId="0" applyFont="1" applyFill="1" applyBorder="1" applyAlignment="1">
      <alignment horizontal="center" vertical="center"/>
    </xf>
    <xf numFmtId="0" fontId="93" fillId="27" borderId="99" xfId="0" applyFont="1" applyFill="1" applyBorder="1" applyAlignment="1">
      <alignment horizontal="center" vertical="center"/>
    </xf>
    <xf numFmtId="0" fontId="93" fillId="27" borderId="100" xfId="0" applyFont="1" applyFill="1" applyBorder="1" applyAlignment="1">
      <alignment horizontal="center" vertical="center"/>
    </xf>
    <xf numFmtId="0" fontId="62" fillId="2" borderId="99" xfId="0" applyFont="1" applyFill="1" applyBorder="1" applyAlignment="1">
      <alignment horizontal="right" vertical="center" wrapText="1"/>
    </xf>
    <xf numFmtId="164" fontId="62" fillId="2" borderId="111" xfId="0" applyNumberFormat="1" applyFont="1" applyFill="1" applyBorder="1" applyAlignment="1">
      <alignment horizontal="right" vertical="center"/>
    </xf>
    <xf numFmtId="164" fontId="62" fillId="2" borderId="99" xfId="0" applyNumberFormat="1" applyFont="1" applyFill="1" applyBorder="1" applyAlignment="1">
      <alignment horizontal="right" vertical="center"/>
    </xf>
    <xf numFmtId="0" fontId="72" fillId="26" borderId="0" xfId="0" applyFont="1" applyFill="1" applyAlignment="1">
      <alignment horizontal="center" vertical="center"/>
    </xf>
    <xf numFmtId="0" fontId="72" fillId="26" borderId="0" xfId="0" applyFont="1" applyFill="1" applyAlignment="1" applyProtection="1">
      <alignment horizontal="center" vertical="center"/>
      <protection locked="0"/>
    </xf>
    <xf numFmtId="0" fontId="72" fillId="26" borderId="103" xfId="0" applyFont="1" applyFill="1" applyBorder="1" applyAlignment="1" applyProtection="1">
      <alignment horizontal="center" vertical="center"/>
      <protection locked="0"/>
    </xf>
    <xf numFmtId="0" fontId="98" fillId="25" borderId="0" xfId="0" applyFont="1" applyFill="1" applyAlignment="1" applyProtection="1">
      <alignment horizontal="center" vertical="center"/>
      <protection locked="0"/>
    </xf>
    <xf numFmtId="0" fontId="98" fillId="25" borderId="104" xfId="0" applyFont="1" applyFill="1" applyBorder="1" applyAlignment="1" applyProtection="1">
      <alignment horizontal="center" vertical="center"/>
      <protection locked="0"/>
    </xf>
    <xf numFmtId="0" fontId="38" fillId="5" borderId="90" xfId="0" applyFont="1" applyFill="1" applyBorder="1" applyAlignment="1">
      <alignment horizontal="right"/>
    </xf>
    <xf numFmtId="0" fontId="38" fillId="5" borderId="92" xfId="0" applyFont="1" applyFill="1" applyBorder="1" applyAlignment="1">
      <alignment horizontal="right"/>
    </xf>
    <xf numFmtId="0" fontId="38" fillId="5" borderId="190" xfId="0" applyFont="1" applyFill="1" applyBorder="1" applyAlignment="1">
      <alignment horizontal="right"/>
    </xf>
    <xf numFmtId="1" fontId="146" fillId="0" borderId="0" xfId="0" applyNumberFormat="1" applyFont="1" applyAlignment="1">
      <alignment horizontal="center"/>
    </xf>
    <xf numFmtId="1" fontId="44" fillId="0" borderId="0" xfId="0" applyNumberFormat="1" applyFont="1" applyAlignment="1">
      <alignment horizontal="center"/>
    </xf>
    <xf numFmtId="0" fontId="41" fillId="12" borderId="3" xfId="0" applyFont="1" applyFill="1" applyBorder="1" applyAlignment="1">
      <alignment horizontal="center" vertical="center" wrapText="1" shrinkToFit="1"/>
    </xf>
    <xf numFmtId="0" fontId="41" fillId="12" borderId="19" xfId="0" applyFont="1" applyFill="1" applyBorder="1" applyAlignment="1">
      <alignment horizontal="center" vertical="center" wrapText="1" shrinkToFit="1"/>
    </xf>
    <xf numFmtId="164" fontId="33" fillId="0" borderId="0" xfId="2" applyNumberFormat="1" applyFont="1" applyBorder="1" applyAlignment="1" applyProtection="1">
      <alignment horizontal="center" vertical="center"/>
      <protection hidden="1"/>
    </xf>
    <xf numFmtId="0" fontId="37" fillId="0" borderId="0" xfId="0" applyFont="1" applyAlignment="1" applyProtection="1">
      <alignment horizontal="center" vertical="center" wrapText="1"/>
      <protection hidden="1"/>
    </xf>
    <xf numFmtId="164" fontId="126" fillId="0" borderId="0" xfId="2" applyNumberFormat="1" applyFont="1" applyAlignment="1" applyProtection="1">
      <alignment horizontal="center" vertical="center"/>
      <protection hidden="1"/>
    </xf>
    <xf numFmtId="0" fontId="156" fillId="0" borderId="0" xfId="0" applyFont="1" applyAlignment="1" applyProtection="1">
      <alignment horizontal="center"/>
      <protection hidden="1"/>
    </xf>
    <xf numFmtId="164" fontId="157" fillId="0" borderId="0" xfId="0" applyNumberFormat="1" applyFont="1" applyAlignment="1">
      <alignment horizontal="center" vertical="center"/>
    </xf>
    <xf numFmtId="0" fontId="44" fillId="0" borderId="0" xfId="0" applyFont="1" applyAlignment="1" applyProtection="1">
      <alignment horizontal="center" vertical="center"/>
      <protection hidden="1"/>
    </xf>
    <xf numFmtId="164" fontId="0" fillId="0" borderId="0" xfId="0" applyNumberFormat="1" applyAlignment="1">
      <alignment horizontal="center" vertical="center"/>
    </xf>
    <xf numFmtId="0" fontId="44" fillId="2" borderId="0" xfId="0" applyFont="1" applyFill="1" applyAlignment="1" applyProtection="1">
      <alignment horizontal="center" vertical="center" wrapText="1"/>
      <protection hidden="1"/>
    </xf>
    <xf numFmtId="0" fontId="21" fillId="17" borderId="124" xfId="0" applyFont="1" applyFill="1" applyBorder="1" applyAlignment="1">
      <alignment horizontal="center"/>
    </xf>
    <xf numFmtId="0" fontId="21" fillId="17" borderId="125" xfId="0" applyFont="1" applyFill="1" applyBorder="1" applyAlignment="1">
      <alignment horizontal="center"/>
    </xf>
    <xf numFmtId="0" fontId="21" fillId="17" borderId="126" xfId="0" applyFont="1" applyFill="1" applyBorder="1" applyAlignment="1">
      <alignment horizontal="center"/>
    </xf>
    <xf numFmtId="0" fontId="21" fillId="25" borderId="124" xfId="0" applyFont="1" applyFill="1" applyBorder="1" applyAlignment="1">
      <alignment horizontal="center"/>
    </xf>
    <xf numFmtId="0" fontId="21" fillId="25" borderId="125" xfId="0" applyFont="1" applyFill="1" applyBorder="1" applyAlignment="1">
      <alignment horizontal="center"/>
    </xf>
    <xf numFmtId="0" fontId="21" fillId="25" borderId="126" xfId="0" applyFont="1" applyFill="1" applyBorder="1" applyAlignment="1">
      <alignment horizontal="center"/>
    </xf>
    <xf numFmtId="0" fontId="54" fillId="11" borderId="84" xfId="0" applyFont="1" applyFill="1" applyBorder="1" applyAlignment="1">
      <alignment horizontal="center" vertical="center"/>
    </xf>
    <xf numFmtId="0" fontId="54" fillId="11" borderId="86" xfId="0" applyFont="1" applyFill="1" applyBorder="1" applyAlignment="1">
      <alignment horizontal="center" vertical="center"/>
    </xf>
    <xf numFmtId="0" fontId="54" fillId="11" borderId="93" xfId="0" applyFont="1" applyFill="1" applyBorder="1" applyAlignment="1">
      <alignment horizontal="center" vertical="center" wrapText="1"/>
    </xf>
    <xf numFmtId="0" fontId="21" fillId="25" borderId="179" xfId="0" applyFont="1" applyFill="1" applyBorder="1" applyAlignment="1">
      <alignment horizontal="center"/>
    </xf>
    <xf numFmtId="0" fontId="21" fillId="25" borderId="180" xfId="0" applyFont="1" applyFill="1" applyBorder="1" applyAlignment="1">
      <alignment horizontal="center"/>
    </xf>
    <xf numFmtId="0" fontId="21" fillId="25" borderId="181" xfId="0" applyFont="1" applyFill="1" applyBorder="1" applyAlignment="1">
      <alignment horizontal="center"/>
    </xf>
    <xf numFmtId="0" fontId="19" fillId="0" borderId="84" xfId="0" applyFont="1" applyBorder="1" applyAlignment="1">
      <alignment horizontal="center" vertical="center"/>
    </xf>
    <xf numFmtId="0" fontId="19" fillId="0" borderId="85" xfId="0" applyFont="1" applyBorder="1" applyAlignment="1">
      <alignment horizontal="center" vertical="center"/>
    </xf>
    <xf numFmtId="0" fontId="19" fillId="0" borderId="86" xfId="0" applyFont="1" applyBorder="1" applyAlignment="1">
      <alignment horizontal="center" vertical="center"/>
    </xf>
    <xf numFmtId="0" fontId="32" fillId="0" borderId="0" xfId="0" applyFont="1" applyAlignment="1">
      <alignment horizontal="center" vertical="center"/>
    </xf>
    <xf numFmtId="0" fontId="122" fillId="28" borderId="74" xfId="0" applyFont="1" applyFill="1" applyBorder="1" applyAlignment="1" applyProtection="1">
      <alignment horizontal="center" vertical="top" wrapText="1"/>
      <protection locked="0"/>
    </xf>
    <xf numFmtId="0" fontId="122" fillId="28" borderId="76" xfId="0" applyFont="1" applyFill="1" applyBorder="1" applyAlignment="1" applyProtection="1">
      <alignment horizontal="center" vertical="top" wrapText="1"/>
      <protection locked="0"/>
    </xf>
    <xf numFmtId="0" fontId="122" fillId="28" borderId="78" xfId="0" applyFont="1" applyFill="1" applyBorder="1" applyAlignment="1" applyProtection="1">
      <alignment horizontal="center" vertical="top" wrapText="1"/>
      <protection locked="0"/>
    </xf>
    <xf numFmtId="0" fontId="122" fillId="28" borderId="94" xfId="0" applyFont="1" applyFill="1" applyBorder="1" applyAlignment="1" applyProtection="1">
      <alignment horizontal="center" vertical="top" wrapText="1"/>
      <protection locked="0"/>
    </xf>
    <xf numFmtId="0" fontId="122" fillId="28" borderId="0" xfId="0" applyFont="1" applyFill="1" applyAlignment="1" applyProtection="1">
      <alignment horizontal="center" vertical="top" wrapText="1"/>
      <protection locked="0"/>
    </xf>
    <xf numFmtId="0" fontId="122" fillId="28" borderId="52" xfId="0" applyFont="1" applyFill="1" applyBorder="1" applyAlignment="1" applyProtection="1">
      <alignment horizontal="center" vertical="top" wrapText="1"/>
      <protection locked="0"/>
    </xf>
    <xf numFmtId="0" fontId="122" fillId="28" borderId="75" xfId="0" applyFont="1" applyFill="1" applyBorder="1" applyAlignment="1" applyProtection="1">
      <alignment horizontal="center" vertical="top" wrapText="1"/>
      <protection locked="0"/>
    </xf>
    <xf numFmtId="0" fontId="122" fillId="28" borderId="77" xfId="0" applyFont="1" applyFill="1" applyBorder="1" applyAlignment="1" applyProtection="1">
      <alignment horizontal="center" vertical="top" wrapText="1"/>
      <protection locked="0"/>
    </xf>
    <xf numFmtId="0" fontId="122" fillId="28" borderId="79" xfId="0" applyFont="1" applyFill="1" applyBorder="1" applyAlignment="1" applyProtection="1">
      <alignment horizontal="center" vertical="top" wrapText="1"/>
      <protection locked="0"/>
    </xf>
    <xf numFmtId="0" fontId="12" fillId="11" borderId="93" xfId="0" applyFont="1" applyFill="1" applyBorder="1" applyAlignment="1">
      <alignment horizontal="center"/>
    </xf>
    <xf numFmtId="0" fontId="15" fillId="11" borderId="56" xfId="0" applyFont="1" applyFill="1" applyBorder="1" applyAlignment="1">
      <alignment horizontal="center" vertical="center"/>
    </xf>
    <xf numFmtId="0" fontId="107" fillId="2" borderId="0" xfId="0" applyFont="1" applyFill="1" applyAlignment="1">
      <alignment horizontal="center" vertical="center" wrapText="1"/>
    </xf>
    <xf numFmtId="0" fontId="108" fillId="2" borderId="0" xfId="0" applyFont="1" applyFill="1" applyAlignment="1">
      <alignment horizontal="center" vertical="center"/>
    </xf>
    <xf numFmtId="0" fontId="10" fillId="11" borderId="90" xfId="0" applyFont="1" applyFill="1" applyBorder="1" applyAlignment="1">
      <alignment horizontal="center" vertical="center"/>
    </xf>
    <xf numFmtId="0" fontId="10" fillId="11" borderId="91" xfId="0" applyFont="1" applyFill="1" applyBorder="1" applyAlignment="1">
      <alignment horizontal="center" vertical="center"/>
    </xf>
    <xf numFmtId="0" fontId="12" fillId="11" borderId="90" xfId="0" applyFont="1" applyFill="1" applyBorder="1" applyAlignment="1">
      <alignment horizontal="center" vertical="center" wrapText="1"/>
    </xf>
    <xf numFmtId="0" fontId="12" fillId="11" borderId="92" xfId="0" applyFont="1" applyFill="1" applyBorder="1" applyAlignment="1">
      <alignment horizontal="center" vertical="center" wrapText="1"/>
    </xf>
    <xf numFmtId="0" fontId="12" fillId="11" borderId="91" xfId="0" applyFont="1" applyFill="1" applyBorder="1" applyAlignment="1">
      <alignment horizontal="center" vertical="center" wrapText="1"/>
    </xf>
    <xf numFmtId="0" fontId="12" fillId="11" borderId="90" xfId="0" applyFont="1" applyFill="1" applyBorder="1" applyAlignment="1">
      <alignment horizontal="center"/>
    </xf>
    <xf numFmtId="0" fontId="12" fillId="11" borderId="91" xfId="0" applyFont="1" applyFill="1" applyBorder="1" applyAlignment="1">
      <alignment horizontal="center"/>
    </xf>
    <xf numFmtId="0" fontId="15" fillId="22" borderId="0" xfId="0" applyFont="1" applyFill="1" applyAlignment="1">
      <alignment horizontal="center" vertical="center"/>
    </xf>
    <xf numFmtId="0" fontId="109" fillId="2" borderId="0" xfId="0" applyFont="1" applyFill="1" applyAlignment="1">
      <alignment horizontal="center" vertical="center" wrapText="1"/>
    </xf>
    <xf numFmtId="0" fontId="110" fillId="2" borderId="0" xfId="0" applyFont="1" applyFill="1" applyAlignment="1">
      <alignment horizontal="center" vertical="center"/>
    </xf>
    <xf numFmtId="0" fontId="12" fillId="2" borderId="57"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58" xfId="0" applyFont="1" applyFill="1" applyBorder="1" applyAlignment="1">
      <alignment horizontal="center" vertical="center" wrapText="1"/>
    </xf>
    <xf numFmtId="0" fontId="161" fillId="18" borderId="0" xfId="0" applyFont="1" applyFill="1"/>
    <xf numFmtId="0" fontId="73" fillId="22" borderId="18" xfId="0" applyFont="1" applyFill="1" applyBorder="1" applyAlignment="1">
      <alignment horizontal="center" vertical="center"/>
    </xf>
    <xf numFmtId="0" fontId="73" fillId="22" borderId="64" xfId="0" applyFont="1" applyFill="1" applyBorder="1" applyAlignment="1">
      <alignment horizontal="center" vertical="center"/>
    </xf>
    <xf numFmtId="0" fontId="73" fillId="22" borderId="19" xfId="0" applyFont="1" applyFill="1" applyBorder="1" applyAlignment="1">
      <alignment horizontal="center" vertical="center"/>
    </xf>
    <xf numFmtId="0" fontId="115" fillId="0" borderId="18" xfId="0" applyFont="1" applyBorder="1" applyAlignment="1">
      <alignment horizontal="center" vertical="center" wrapText="1"/>
    </xf>
    <xf numFmtId="0" fontId="115" fillId="0" borderId="64" xfId="0" applyFont="1" applyBorder="1" applyAlignment="1">
      <alignment horizontal="center" vertical="center" wrapText="1"/>
    </xf>
    <xf numFmtId="0" fontId="115" fillId="0" borderId="19" xfId="0" applyFont="1" applyBorder="1" applyAlignment="1">
      <alignment horizontal="center" vertical="center" wrapText="1"/>
    </xf>
    <xf numFmtId="0" fontId="1" fillId="30" borderId="0" xfId="0" applyFont="1" applyFill="1" applyAlignment="1">
      <alignment horizontal="center"/>
    </xf>
    <xf numFmtId="0" fontId="120" fillId="0" borderId="0" xfId="0" applyFont="1" applyAlignment="1">
      <alignment horizontal="left" vertical="center" wrapText="1"/>
    </xf>
    <xf numFmtId="0" fontId="43" fillId="0" borderId="0" xfId="0" applyFont="1" applyAlignment="1">
      <alignment horizontal="right"/>
    </xf>
    <xf numFmtId="2" fontId="47" fillId="11" borderId="3" xfId="0" applyNumberFormat="1" applyFont="1" applyFill="1" applyBorder="1" applyAlignment="1">
      <alignment horizontal="center"/>
    </xf>
    <xf numFmtId="2" fontId="47" fillId="22" borderId="3" xfId="0" applyNumberFormat="1" applyFont="1" applyFill="1" applyBorder="1" applyAlignment="1">
      <alignment horizontal="center"/>
    </xf>
    <xf numFmtId="8" fontId="47" fillId="11" borderId="3" xfId="0" applyNumberFormat="1" applyFont="1" applyFill="1" applyBorder="1" applyAlignment="1">
      <alignment horizontal="center"/>
    </xf>
    <xf numFmtId="8" fontId="47" fillId="22" borderId="3" xfId="0" applyNumberFormat="1" applyFont="1" applyFill="1" applyBorder="1" applyAlignment="1">
      <alignment horizontal="center"/>
    </xf>
    <xf numFmtId="10" fontId="47" fillId="11" borderId="3" xfId="0" applyNumberFormat="1" applyFont="1" applyFill="1" applyBorder="1" applyAlignment="1">
      <alignment horizontal="center"/>
    </xf>
    <xf numFmtId="0" fontId="47" fillId="11" borderId="3" xfId="0" applyFont="1" applyFill="1" applyBorder="1" applyAlignment="1">
      <alignment horizontal="center"/>
    </xf>
    <xf numFmtId="9" fontId="105" fillId="18" borderId="3" xfId="0" applyNumberFormat="1" applyFont="1" applyFill="1" applyBorder="1" applyAlignment="1" applyProtection="1">
      <alignment horizontal="center"/>
      <protection locked="0"/>
    </xf>
    <xf numFmtId="0" fontId="47" fillId="11" borderId="74" xfId="0" applyFont="1" applyFill="1" applyBorder="1" applyAlignment="1">
      <alignment horizontal="center"/>
    </xf>
    <xf numFmtId="0" fontId="47" fillId="11" borderId="76" xfId="0" applyFont="1" applyFill="1" applyBorder="1" applyAlignment="1">
      <alignment horizontal="center"/>
    </xf>
    <xf numFmtId="0" fontId="47" fillId="11" borderId="78" xfId="0" applyFont="1" applyFill="1" applyBorder="1" applyAlignment="1">
      <alignment horizontal="center"/>
    </xf>
    <xf numFmtId="6" fontId="47" fillId="11" borderId="3" xfId="0" applyNumberFormat="1" applyFont="1" applyFill="1" applyBorder="1" applyAlignment="1">
      <alignment horizontal="center"/>
    </xf>
    <xf numFmtId="6" fontId="105" fillId="18" borderId="3" xfId="0" applyNumberFormat="1" applyFont="1" applyFill="1" applyBorder="1" applyAlignment="1" applyProtection="1">
      <alignment horizontal="center"/>
      <protection locked="0"/>
    </xf>
    <xf numFmtId="6" fontId="47" fillId="22" borderId="3" xfId="0" applyNumberFormat="1" applyFont="1" applyFill="1" applyBorder="1" applyAlignment="1">
      <alignment horizontal="center"/>
    </xf>
    <xf numFmtId="38" fontId="47" fillId="11" borderId="3" xfId="0" applyNumberFormat="1" applyFont="1" applyFill="1" applyBorder="1" applyAlignment="1">
      <alignment horizontal="center"/>
    </xf>
    <xf numFmtId="38" fontId="47" fillId="22" borderId="3" xfId="0" applyNumberFormat="1" applyFont="1" applyFill="1" applyBorder="1" applyAlignment="1">
      <alignment horizontal="center"/>
    </xf>
    <xf numFmtId="0" fontId="33" fillId="12" borderId="68" xfId="0" applyFont="1" applyFill="1" applyBorder="1" applyAlignment="1">
      <alignment horizontal="right" shrinkToFit="1"/>
    </xf>
    <xf numFmtId="0" fontId="33" fillId="12" borderId="69" xfId="0" applyFont="1" applyFill="1" applyBorder="1" applyAlignment="1">
      <alignment horizontal="right" shrinkToFit="1"/>
    </xf>
    <xf numFmtId="0" fontId="43" fillId="11" borderId="93" xfId="0" applyFont="1" applyFill="1" applyBorder="1" applyAlignment="1">
      <alignment horizontal="center" vertical="center"/>
    </xf>
    <xf numFmtId="0" fontId="43" fillId="22" borderId="93" xfId="0" applyFont="1" applyFill="1" applyBorder="1" applyAlignment="1">
      <alignment horizontal="center" vertical="center" wrapText="1"/>
    </xf>
    <xf numFmtId="0" fontId="33" fillId="12" borderId="69" xfId="0" applyFont="1" applyFill="1" applyBorder="1" applyAlignment="1">
      <alignment horizontal="left"/>
    </xf>
    <xf numFmtId="0" fontId="34" fillId="12" borderId="69" xfId="0" applyFont="1" applyFill="1" applyBorder="1"/>
    <xf numFmtId="0" fontId="37" fillId="12" borderId="3" xfId="0" applyFont="1" applyFill="1" applyBorder="1" applyAlignment="1">
      <alignment horizontal="center" vertical="center" wrapText="1"/>
    </xf>
    <xf numFmtId="6" fontId="38" fillId="11" borderId="83" xfId="0" applyNumberFormat="1" applyFont="1" applyFill="1" applyBorder="1" applyAlignment="1">
      <alignment horizontal="center" vertical="center"/>
    </xf>
    <xf numFmtId="6" fontId="38" fillId="11" borderId="73" xfId="0" applyNumberFormat="1" applyFont="1" applyFill="1" applyBorder="1" applyAlignment="1">
      <alignment horizontal="center" vertical="center"/>
    </xf>
    <xf numFmtId="6" fontId="38" fillId="11" borderId="50" xfId="0" applyNumberFormat="1" applyFont="1" applyFill="1" applyBorder="1" applyAlignment="1">
      <alignment horizontal="center" vertical="center"/>
    </xf>
    <xf numFmtId="6" fontId="38" fillId="11" borderId="72" xfId="0" applyNumberFormat="1" applyFont="1" applyFill="1" applyBorder="1" applyAlignment="1">
      <alignment horizontal="center" vertical="center"/>
    </xf>
    <xf numFmtId="6" fontId="39" fillId="22" borderId="83" xfId="0" applyNumberFormat="1" applyFont="1" applyFill="1" applyBorder="1" applyAlignment="1">
      <alignment horizontal="center" vertical="center"/>
    </xf>
    <xf numFmtId="6" fontId="39" fillId="22" borderId="73" xfId="0" applyNumberFormat="1" applyFont="1" applyFill="1" applyBorder="1" applyAlignment="1">
      <alignment horizontal="center" vertical="center"/>
    </xf>
    <xf numFmtId="6" fontId="39" fillId="22" borderId="50" xfId="0" applyNumberFormat="1" applyFont="1" applyFill="1" applyBorder="1" applyAlignment="1">
      <alignment horizontal="center" vertical="center"/>
    </xf>
    <xf numFmtId="6" fontId="39" fillId="22" borderId="72" xfId="0" applyNumberFormat="1" applyFont="1" applyFill="1" applyBorder="1" applyAlignment="1">
      <alignment horizontal="center" vertical="center"/>
    </xf>
    <xf numFmtId="9" fontId="39" fillId="18" borderId="6" xfId="0" applyNumberFormat="1" applyFont="1" applyFill="1" applyBorder="1" applyAlignment="1" applyProtection="1">
      <alignment horizontal="center" vertical="center"/>
      <protection locked="0"/>
    </xf>
    <xf numFmtId="9" fontId="39" fillId="18" borderId="60" xfId="0" applyNumberFormat="1" applyFont="1" applyFill="1" applyBorder="1" applyAlignment="1" applyProtection="1">
      <alignment horizontal="center" vertical="center"/>
      <protection locked="0"/>
    </xf>
    <xf numFmtId="0" fontId="43" fillId="0" borderId="59" xfId="0" applyFont="1" applyBorder="1" applyAlignment="1">
      <alignment horizontal="center" vertical="center" wrapText="1"/>
    </xf>
    <xf numFmtId="6" fontId="104" fillId="0" borderId="59" xfId="0" applyNumberFormat="1" applyFont="1" applyBorder="1" applyAlignment="1">
      <alignment horizontal="center" vertical="center" wrapText="1"/>
    </xf>
    <xf numFmtId="0" fontId="47" fillId="18" borderId="74" xfId="0" applyFont="1" applyFill="1" applyBorder="1" applyAlignment="1" applyProtection="1">
      <alignment horizontal="center"/>
      <protection locked="0"/>
    </xf>
    <xf numFmtId="0" fontId="47" fillId="18" borderId="76" xfId="0" applyFont="1" applyFill="1" applyBorder="1" applyAlignment="1" applyProtection="1">
      <alignment horizontal="center"/>
      <protection locked="0"/>
    </xf>
    <xf numFmtId="0" fontId="47" fillId="18" borderId="78" xfId="0" applyFont="1" applyFill="1" applyBorder="1" applyAlignment="1" applyProtection="1">
      <alignment horizontal="center"/>
      <protection locked="0"/>
    </xf>
    <xf numFmtId="0" fontId="47" fillId="18" borderId="94" xfId="0" applyFont="1" applyFill="1" applyBorder="1" applyAlignment="1" applyProtection="1">
      <alignment horizontal="center"/>
      <protection locked="0"/>
    </xf>
    <xf numFmtId="0" fontId="47" fillId="18" borderId="0" xfId="0" applyFont="1" applyFill="1" applyAlignment="1" applyProtection="1">
      <alignment horizontal="center"/>
      <protection locked="0"/>
    </xf>
    <xf numFmtId="0" fontId="47" fillId="18" borderId="52" xfId="0" applyFont="1" applyFill="1" applyBorder="1" applyAlignment="1" applyProtection="1">
      <alignment horizontal="center"/>
      <protection locked="0"/>
    </xf>
    <xf numFmtId="0" fontId="47" fillId="18" borderId="75" xfId="0" applyFont="1" applyFill="1" applyBorder="1" applyAlignment="1" applyProtection="1">
      <alignment horizontal="center"/>
      <protection locked="0"/>
    </xf>
    <xf numFmtId="0" fontId="47" fillId="18" borderId="77" xfId="0" applyFont="1" applyFill="1" applyBorder="1" applyAlignment="1" applyProtection="1">
      <alignment horizontal="center"/>
      <protection locked="0"/>
    </xf>
    <xf numFmtId="0" fontId="47" fillId="18" borderId="79" xfId="0" applyFont="1" applyFill="1" applyBorder="1" applyAlignment="1" applyProtection="1">
      <alignment horizontal="center"/>
      <protection locked="0"/>
    </xf>
    <xf numFmtId="172" fontId="47" fillId="22" borderId="78" xfId="1" applyNumberFormat="1" applyFont="1" applyFill="1" applyBorder="1" applyAlignment="1" applyProtection="1">
      <alignment vertical="center"/>
    </xf>
    <xf numFmtId="172" fontId="47" fillId="22" borderId="79" xfId="1" applyNumberFormat="1" applyFont="1" applyFill="1" applyBorder="1" applyAlignment="1" applyProtection="1">
      <alignment vertical="center"/>
    </xf>
    <xf numFmtId="0" fontId="47" fillId="22" borderId="76" xfId="0" applyFont="1" applyFill="1" applyBorder="1" applyAlignment="1">
      <alignment horizontal="center" vertical="center" wrapText="1" shrinkToFit="1"/>
    </xf>
    <xf numFmtId="0" fontId="47" fillId="22" borderId="59" xfId="0" applyFont="1" applyFill="1" applyBorder="1" applyAlignment="1">
      <alignment horizontal="center" vertical="center" wrapText="1" shrinkToFit="1"/>
    </xf>
    <xf numFmtId="172" fontId="47" fillId="22" borderId="73" xfId="1" applyNumberFormat="1" applyFont="1" applyFill="1" applyBorder="1" applyAlignment="1" applyProtection="1">
      <alignment vertical="center"/>
    </xf>
    <xf numFmtId="173" fontId="47" fillId="22" borderId="70" xfId="1" applyNumberFormat="1" applyFont="1" applyFill="1" applyBorder="1" applyAlignment="1" applyProtection="1">
      <alignment vertical="center"/>
    </xf>
    <xf numFmtId="173" fontId="47" fillId="22" borderId="80" xfId="1" applyNumberFormat="1" applyFont="1" applyFill="1" applyBorder="1" applyAlignment="1" applyProtection="1">
      <alignment vertical="center"/>
    </xf>
    <xf numFmtId="172" fontId="47" fillId="22" borderId="71" xfId="1" applyNumberFormat="1" applyFont="1" applyFill="1" applyBorder="1" applyAlignment="1" applyProtection="1">
      <alignment vertical="center"/>
    </xf>
    <xf numFmtId="172" fontId="47" fillId="22" borderId="82" xfId="1" applyNumberFormat="1" applyFont="1" applyFill="1" applyBorder="1" applyAlignment="1" applyProtection="1">
      <alignment vertical="center"/>
    </xf>
    <xf numFmtId="0" fontId="47" fillId="22" borderId="94" xfId="0" applyFont="1" applyFill="1" applyBorder="1" applyAlignment="1">
      <alignment horizontal="right" vertical="center" wrapText="1" indent="1"/>
    </xf>
    <xf numFmtId="0" fontId="47" fillId="22" borderId="73" xfId="0" applyFont="1" applyFill="1" applyBorder="1" applyAlignment="1">
      <alignment horizontal="right" vertical="center" wrapText="1" indent="1"/>
    </xf>
    <xf numFmtId="169" fontId="47" fillId="22" borderId="74" xfId="2" applyNumberFormat="1" applyFont="1" applyFill="1" applyBorder="1" applyAlignment="1" applyProtection="1">
      <alignment vertical="center"/>
    </xf>
    <xf numFmtId="169" fontId="47" fillId="22" borderId="75" xfId="2" applyNumberFormat="1" applyFont="1" applyFill="1" applyBorder="1" applyAlignment="1" applyProtection="1">
      <alignment vertical="center"/>
    </xf>
    <xf numFmtId="169" fontId="47" fillId="22" borderId="76" xfId="2" applyNumberFormat="1" applyFont="1" applyFill="1" applyBorder="1" applyAlignment="1" applyProtection="1">
      <alignment vertical="center"/>
    </xf>
    <xf numFmtId="169" fontId="47" fillId="22" borderId="77" xfId="2" applyNumberFormat="1" applyFont="1" applyFill="1" applyBorder="1" applyAlignment="1" applyProtection="1">
      <alignment vertical="center"/>
    </xf>
    <xf numFmtId="0" fontId="47" fillId="22" borderId="94" xfId="0" applyFont="1" applyFill="1" applyBorder="1" applyAlignment="1">
      <alignment horizontal="right" vertical="center" indent="1"/>
    </xf>
    <xf numFmtId="0" fontId="47" fillId="22" borderId="0" xfId="0" applyFont="1" applyFill="1" applyAlignment="1">
      <alignment horizontal="right" vertical="center" indent="1"/>
    </xf>
    <xf numFmtId="173" fontId="47" fillId="22" borderId="81" xfId="1" applyNumberFormat="1" applyFont="1" applyFill="1" applyBorder="1" applyAlignment="1" applyProtection="1">
      <alignment vertical="center"/>
    </xf>
    <xf numFmtId="173" fontId="47" fillId="22" borderId="77" xfId="1" applyNumberFormat="1" applyFont="1" applyFill="1" applyBorder="1" applyAlignment="1" applyProtection="1">
      <alignment vertical="center"/>
    </xf>
    <xf numFmtId="173" fontId="47" fillId="22" borderId="83" xfId="1" applyNumberFormat="1" applyFont="1" applyFill="1" applyBorder="1" applyAlignment="1" applyProtection="1">
      <alignment horizontal="right" vertical="center"/>
    </xf>
    <xf numFmtId="173" fontId="47" fillId="22" borderId="0" xfId="1" applyNumberFormat="1" applyFont="1" applyFill="1" applyBorder="1" applyAlignment="1" applyProtection="1">
      <alignment vertical="center"/>
    </xf>
    <xf numFmtId="0" fontId="131" fillId="0" borderId="0" xfId="0" applyFont="1" applyAlignment="1">
      <alignment horizontal="center" vertical="center" wrapText="1"/>
    </xf>
    <xf numFmtId="0" fontId="133" fillId="0" borderId="0" xfId="0" applyFont="1" applyAlignment="1">
      <alignment horizontal="center" vertical="center" wrapText="1"/>
    </xf>
    <xf numFmtId="0" fontId="47" fillId="0" borderId="0" xfId="0" applyFont="1" applyAlignment="1" applyProtection="1">
      <alignment horizontal="left" vertical="top" wrapText="1"/>
      <protection hidden="1"/>
    </xf>
    <xf numFmtId="0" fontId="47" fillId="0" borderId="0" xfId="0" applyFont="1" applyAlignment="1">
      <alignment horizontal="left" vertical="top" wrapText="1"/>
    </xf>
    <xf numFmtId="0" fontId="152" fillId="0" borderId="0" xfId="0" applyFont="1" applyAlignment="1" applyProtection="1">
      <alignment horizontal="center" vertical="center"/>
      <protection hidden="1"/>
    </xf>
    <xf numFmtId="0" fontId="43" fillId="0" borderId="0" xfId="0" applyFont="1" applyAlignment="1">
      <alignment horizontal="left" vertical="top" wrapText="1"/>
    </xf>
    <xf numFmtId="0" fontId="171" fillId="0" borderId="0" xfId="0" applyFont="1"/>
  </cellXfs>
  <cellStyles count="7">
    <cellStyle name="Comma" xfId="1" builtinId="3"/>
    <cellStyle name="Currency" xfId="2" builtinId="4"/>
    <cellStyle name="Currency 2" xfId="6" xr:uid="{FD94EF28-5D41-42A5-A6A5-4A8676D8A3CE}"/>
    <cellStyle name="Hyperlink" xfId="4" builtinId="8"/>
    <cellStyle name="Normal" xfId="0" builtinId="0"/>
    <cellStyle name="Normal 2" xfId="5" xr:uid="{0FB10E10-0D4D-40F5-8D8F-244AF18432E8}"/>
    <cellStyle name="Percent" xfId="3" builtinId="5"/>
  </cellStyles>
  <dxfs count="35">
    <dxf>
      <font>
        <b/>
        <i val="0"/>
        <condense val="0"/>
        <extend val="0"/>
        <color indexed="10"/>
      </font>
      <fill>
        <patternFill>
          <bgColor indexed="45"/>
        </patternFill>
      </fill>
      <border>
        <left style="thin">
          <color indexed="10"/>
        </left>
        <right style="thin">
          <color indexed="10"/>
        </right>
        <top style="thin">
          <color indexed="10"/>
        </top>
        <bottom style="thin">
          <color indexed="10"/>
        </bottom>
      </border>
    </dxf>
    <dxf>
      <font>
        <b/>
        <i val="0"/>
        <condense val="0"/>
        <extend val="0"/>
        <color indexed="10"/>
      </font>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ont>
        <b/>
        <i val="0"/>
        <condense val="0"/>
        <extend val="0"/>
        <color indexed="10"/>
      </font>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ont>
        <b/>
        <i val="0"/>
        <condense val="0"/>
        <extend val="0"/>
        <color indexed="10"/>
      </font>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rgb="FFFFFF99"/>
        </patternFill>
      </fill>
    </dxf>
    <dxf>
      <fill>
        <patternFill>
          <bgColor rgb="FFFFFF99"/>
        </patternFill>
      </fill>
    </dxf>
    <dxf>
      <fill>
        <patternFill>
          <bgColor rgb="FFFFFF99"/>
        </patternFill>
      </fill>
    </dxf>
    <dxf>
      <fill>
        <patternFill>
          <bgColor rgb="FFFFFF99"/>
        </patternFill>
      </fill>
    </dxf>
    <dxf>
      <font>
        <b/>
        <i val="0"/>
        <color rgb="FFFFFF00"/>
      </font>
    </dxf>
    <dxf>
      <font>
        <b/>
        <i val="0"/>
        <color rgb="FFFFFF00"/>
      </font>
    </dxf>
    <dxf>
      <font>
        <b/>
        <i val="0"/>
        <color rgb="FFFFFF00"/>
      </font>
    </dxf>
    <dxf>
      <font>
        <b/>
        <i val="0"/>
        <color rgb="FFFFFF00"/>
      </font>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ont>
        <b/>
        <i val="0"/>
        <u val="none"/>
        <color rgb="FFFFFF00"/>
      </font>
    </dxf>
    <dxf>
      <font>
        <b/>
        <i val="0"/>
        <u val="none"/>
        <color rgb="FFFFFF00"/>
      </font>
    </dxf>
    <dxf>
      <font>
        <b/>
        <i val="0"/>
        <u val="none"/>
        <color theme="8" tint="-0.24994659260841701"/>
      </font>
    </dxf>
    <dxf>
      <font>
        <b/>
        <i val="0"/>
        <u val="none"/>
        <color theme="8" tint="-0.24994659260841701"/>
      </font>
    </dxf>
    <dxf>
      <font>
        <b/>
        <i val="0"/>
        <u val="none"/>
        <color theme="8" tint="-0.24994659260841701"/>
      </font>
    </dxf>
    <dxf>
      <font>
        <b/>
        <i val="0"/>
        <color rgb="FFFFFF00"/>
      </font>
    </dxf>
    <dxf>
      <fill>
        <patternFill>
          <bgColor rgb="FFFFFF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strRef>
          <c:f>'Fee calc_closed Transactions'!$B$70</c:f>
          <c:strCache>
            <c:ptCount val="1"/>
            <c:pt idx="0">
              <c:v>% of Franchise Fees Paid</c:v>
            </c:pt>
          </c:strCache>
        </c:strRef>
      </c:tx>
      <c:layout>
        <c:manualLayout>
          <c:xMode val="edge"/>
          <c:yMode val="edge"/>
          <c:x val="0.15939264694185953"/>
          <c:y val="3.408345263660224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16008510299849"/>
          <c:y val="0.29991648771176327"/>
          <c:w val="0.66966465839497336"/>
          <c:h val="0.66966465839497336"/>
        </c:manualLayout>
      </c:layout>
      <c:doughnutChart>
        <c:varyColors val="1"/>
        <c:ser>
          <c:idx val="0"/>
          <c:order val="0"/>
          <c:spPr>
            <a:solidFill>
              <a:schemeClr val="accent5">
                <a:lumMod val="75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95D3-427C-BB48-E628E2299D6B}"/>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95D3-427C-BB48-E628E2299D6B}"/>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95D3-427C-BB48-E628E2299D6B}"/>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95D3-427C-BB48-E628E2299D6B}"/>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95D3-427C-BB48-E628E2299D6B}"/>
              </c:ext>
            </c:extLst>
          </c:dPt>
          <c:dPt>
            <c:idx val="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95D3-427C-BB48-E628E2299D6B}"/>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95D3-427C-BB48-E628E2299D6B}"/>
              </c:ext>
            </c:extLst>
          </c:dPt>
          <c:dPt>
            <c:idx val="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F-95D3-427C-BB48-E628E2299D6B}"/>
              </c:ext>
            </c:extLst>
          </c:dPt>
          <c:dPt>
            <c:idx val="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1-95D3-427C-BB48-E628E2299D6B}"/>
              </c:ext>
            </c:extLst>
          </c:dPt>
          <c:dPt>
            <c:idx val="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3-95D3-427C-BB48-E628E2299D6B}"/>
              </c:ext>
            </c:extLst>
          </c:dPt>
          <c:dPt>
            <c:idx val="1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5-95D3-427C-BB48-E628E2299D6B}"/>
              </c:ext>
            </c:extLst>
          </c:dPt>
          <c:dPt>
            <c:idx val="1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7-95D3-427C-BB48-E628E2299D6B}"/>
              </c:ext>
            </c:extLst>
          </c:dPt>
          <c:dPt>
            <c:idx val="1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9-95D3-427C-BB48-E628E2299D6B}"/>
              </c:ext>
            </c:extLst>
          </c:dPt>
          <c:dPt>
            <c:idx val="1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B-95D3-427C-BB48-E628E2299D6B}"/>
              </c:ext>
            </c:extLst>
          </c:dPt>
          <c:dPt>
            <c:idx val="1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D-95D3-427C-BB48-E628E2299D6B}"/>
              </c:ext>
            </c:extLst>
          </c:dPt>
          <c:dPt>
            <c:idx val="1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F-95D3-427C-BB48-E628E2299D6B}"/>
              </c:ext>
            </c:extLst>
          </c:dPt>
          <c:dPt>
            <c:idx val="1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1-95D3-427C-BB48-E628E2299D6B}"/>
              </c:ext>
            </c:extLst>
          </c:dPt>
          <c:dPt>
            <c:idx val="1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3-95D3-427C-BB48-E628E2299D6B}"/>
              </c:ext>
            </c:extLst>
          </c:dPt>
          <c:dPt>
            <c:idx val="1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5-95D3-427C-BB48-E628E2299D6B}"/>
              </c:ext>
            </c:extLst>
          </c:dPt>
          <c:dPt>
            <c:idx val="1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7-95D3-427C-BB48-E628E2299D6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95D3-427C-BB48-E628E2299D6B}"/>
            </c:ext>
          </c:extLst>
        </c:ser>
        <c:dLbls>
          <c:showLegendKey val="0"/>
          <c:showVal val="0"/>
          <c:showCatName val="0"/>
          <c:showSerName val="0"/>
          <c:showPercent val="0"/>
          <c:showBubbleSize val="0"/>
          <c:showLeaderLines val="1"/>
        </c:dLbls>
        <c:firstSliceAng val="0"/>
        <c:holeSize val="50"/>
      </c:doughnutChart>
      <c:doughnutChart>
        <c:varyColors val="1"/>
        <c:ser>
          <c:idx val="1"/>
          <c:order val="1"/>
          <c:tx>
            <c:strRef>
              <c:f>'Fee calc_closed Transactions'!$B$70</c:f>
              <c:strCache>
                <c:ptCount val="1"/>
                <c:pt idx="0">
                  <c:v>% of Franchise Fees Paid</c:v>
                </c:pt>
              </c:strCache>
            </c:strRef>
          </c:tx>
          <c:spPr>
            <a:noFill/>
          </c:spPr>
          <c:dPt>
            <c:idx val="0"/>
            <c:bubble3D val="0"/>
            <c:spPr>
              <a:noFill/>
              <a:ln w="19050">
                <a:solidFill>
                  <a:schemeClr val="lt1"/>
                </a:solidFill>
              </a:ln>
              <a:effectLst/>
            </c:spPr>
            <c:extLst>
              <c:ext xmlns:c16="http://schemas.microsoft.com/office/drawing/2014/chart" uri="{C3380CC4-5D6E-409C-BE32-E72D297353CC}">
                <c16:uniqueId val="{0000002A-95D3-427C-BB48-E628E2299D6B}"/>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2C-95D3-427C-BB48-E628E2299D6B}"/>
              </c:ext>
            </c:extLst>
          </c:dPt>
          <c:val>
            <c:numRef>
              <c:f>'Fee calc_closed Transactions'!$C$70:$D$70</c:f>
              <c:numCache>
                <c:formatCode>0%</c:formatCode>
                <c:ptCount val="2"/>
                <c:pt idx="0">
                  <c:v>0</c:v>
                </c:pt>
                <c:pt idx="1">
                  <c:v>0</c:v>
                </c:pt>
              </c:numCache>
            </c:numRef>
          </c:val>
          <c:extLst>
            <c:ext xmlns:c16="http://schemas.microsoft.com/office/drawing/2014/chart" uri="{C3380CC4-5D6E-409C-BE32-E72D297353CC}">
              <c16:uniqueId val="{0000002D-95D3-427C-BB48-E628E2299D6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strRef>
          <c:f>'Fee calc_closed Transactions'!$B$69</c:f>
          <c:strCache>
            <c:ptCount val="1"/>
            <c:pt idx="0">
              <c:v>% of Marketing Fees Paid</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277499403483657"/>
          <c:y val="0.29015698321800676"/>
          <c:w val="0.68742776082545221"/>
          <c:h val="0.69086934913151599"/>
        </c:manualLayout>
      </c:layout>
      <c:doughnutChart>
        <c:varyColors val="1"/>
        <c:ser>
          <c:idx val="0"/>
          <c:order val="0"/>
          <c:spPr>
            <a:solidFill>
              <a:schemeClr val="accent5">
                <a:lumMod val="75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3AA8-4BCB-AEF1-89C12FF1DC26}"/>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3AA8-4BCB-AEF1-89C12FF1DC26}"/>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3AA8-4BCB-AEF1-89C12FF1DC26}"/>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3AA8-4BCB-AEF1-89C12FF1DC26}"/>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3AA8-4BCB-AEF1-89C12FF1DC26}"/>
              </c:ext>
            </c:extLst>
          </c:dPt>
          <c:dPt>
            <c:idx val="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3AA8-4BCB-AEF1-89C12FF1DC26}"/>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3AA8-4BCB-AEF1-89C12FF1DC26}"/>
              </c:ext>
            </c:extLst>
          </c:dPt>
          <c:dPt>
            <c:idx val="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F-3AA8-4BCB-AEF1-89C12FF1DC26}"/>
              </c:ext>
            </c:extLst>
          </c:dPt>
          <c:dPt>
            <c:idx val="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1-3AA8-4BCB-AEF1-89C12FF1DC26}"/>
              </c:ext>
            </c:extLst>
          </c:dPt>
          <c:dPt>
            <c:idx val="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3-3AA8-4BCB-AEF1-89C12FF1DC26}"/>
              </c:ext>
            </c:extLst>
          </c:dPt>
          <c:dPt>
            <c:idx val="1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5-3AA8-4BCB-AEF1-89C12FF1DC26}"/>
              </c:ext>
            </c:extLst>
          </c:dPt>
          <c:dPt>
            <c:idx val="1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7-3AA8-4BCB-AEF1-89C12FF1DC26}"/>
              </c:ext>
            </c:extLst>
          </c:dPt>
          <c:dPt>
            <c:idx val="1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9-3AA8-4BCB-AEF1-89C12FF1DC26}"/>
              </c:ext>
            </c:extLst>
          </c:dPt>
          <c:dPt>
            <c:idx val="1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B-3AA8-4BCB-AEF1-89C12FF1DC26}"/>
              </c:ext>
            </c:extLst>
          </c:dPt>
          <c:dPt>
            <c:idx val="1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D-3AA8-4BCB-AEF1-89C12FF1DC26}"/>
              </c:ext>
            </c:extLst>
          </c:dPt>
          <c:dPt>
            <c:idx val="1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F-3AA8-4BCB-AEF1-89C12FF1DC26}"/>
              </c:ext>
            </c:extLst>
          </c:dPt>
          <c:dPt>
            <c:idx val="1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1-3AA8-4BCB-AEF1-89C12FF1DC26}"/>
              </c:ext>
            </c:extLst>
          </c:dPt>
          <c:dPt>
            <c:idx val="1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3-3AA8-4BCB-AEF1-89C12FF1DC26}"/>
              </c:ext>
            </c:extLst>
          </c:dPt>
          <c:dPt>
            <c:idx val="1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5-3AA8-4BCB-AEF1-89C12FF1DC26}"/>
              </c:ext>
            </c:extLst>
          </c:dPt>
          <c:dPt>
            <c:idx val="1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7-3AA8-4BCB-AEF1-89C12FF1DC2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AA8-4BCB-AEF1-89C12FF1DC26}"/>
            </c:ext>
          </c:extLst>
        </c:ser>
        <c:dLbls>
          <c:showLegendKey val="0"/>
          <c:showVal val="0"/>
          <c:showCatName val="0"/>
          <c:showSerName val="0"/>
          <c:showPercent val="0"/>
          <c:showBubbleSize val="0"/>
          <c:showLeaderLines val="1"/>
        </c:dLbls>
        <c:firstSliceAng val="0"/>
        <c:holeSize val="50"/>
      </c:doughnutChart>
      <c:doughnutChart>
        <c:varyColors val="1"/>
        <c:ser>
          <c:idx val="1"/>
          <c:order val="1"/>
          <c:tx>
            <c:strRef>
              <c:f>'Fee calc_closed Transactions'!$B$69</c:f>
              <c:strCache>
                <c:ptCount val="1"/>
                <c:pt idx="0">
                  <c:v>% of Marketing Fees Paid</c:v>
                </c:pt>
              </c:strCache>
            </c:strRef>
          </c:tx>
          <c:dPt>
            <c:idx val="0"/>
            <c:bubble3D val="0"/>
            <c:spPr>
              <a:noFill/>
              <a:ln w="19050">
                <a:solidFill>
                  <a:schemeClr val="lt1"/>
                </a:solidFill>
              </a:ln>
              <a:effectLst/>
            </c:spPr>
            <c:extLst>
              <c:ext xmlns:c16="http://schemas.microsoft.com/office/drawing/2014/chart" uri="{C3380CC4-5D6E-409C-BE32-E72D297353CC}">
                <c16:uniqueId val="{0000002A-3AA8-4BCB-AEF1-89C12FF1DC26}"/>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2C-3AA8-4BCB-AEF1-89C12FF1DC26}"/>
              </c:ext>
            </c:extLst>
          </c:dPt>
          <c:val>
            <c:numRef>
              <c:f>'Fee calc_closed Transactions'!$C$69:$D$69</c:f>
              <c:numCache>
                <c:formatCode>0%</c:formatCode>
                <c:ptCount val="2"/>
                <c:pt idx="0">
                  <c:v>0</c:v>
                </c:pt>
                <c:pt idx="1">
                  <c:v>0</c:v>
                </c:pt>
              </c:numCache>
            </c:numRef>
          </c:val>
          <c:extLst>
            <c:ext xmlns:c16="http://schemas.microsoft.com/office/drawing/2014/chart" uri="{C3380CC4-5D6E-409C-BE32-E72D297353CC}">
              <c16:uniqueId val="{0000002D-3AA8-4BCB-AEF1-89C12FF1DC2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400" b="1" i="0" u="none" strike="noStrike" kern="1200" spc="0" baseline="0">
                <a:solidFill>
                  <a:schemeClr val="accent6">
                    <a:lumMod val="50000"/>
                  </a:schemeClr>
                </a:solidFill>
                <a:latin typeface="+mn-lt"/>
                <a:ea typeface="+mn-ea"/>
                <a:cs typeface="+mn-cs"/>
              </a:defRPr>
            </a:pPr>
            <a:r>
              <a:rPr lang="en-US" sz="2400" b="1">
                <a:solidFill>
                  <a:schemeClr val="accent6">
                    <a:lumMod val="50000"/>
                  </a:schemeClr>
                </a:solidFill>
              </a:rPr>
              <a:t>Percent of </a:t>
            </a:r>
          </a:p>
          <a:p>
            <a:pPr>
              <a:defRPr sz="2400" b="1">
                <a:solidFill>
                  <a:schemeClr val="accent6">
                    <a:lumMod val="50000"/>
                  </a:schemeClr>
                </a:solidFill>
              </a:defRPr>
            </a:pPr>
            <a:r>
              <a:rPr lang="en-US" sz="2400" b="1">
                <a:solidFill>
                  <a:schemeClr val="accent6">
                    <a:lumMod val="50000"/>
                  </a:schemeClr>
                </a:solidFill>
              </a:rPr>
              <a:t>Gross Commission </a:t>
            </a:r>
          </a:p>
          <a:p>
            <a:pPr>
              <a:defRPr sz="2400" b="1">
                <a:solidFill>
                  <a:schemeClr val="accent6">
                    <a:lumMod val="50000"/>
                  </a:schemeClr>
                </a:solidFill>
              </a:defRPr>
            </a:pPr>
            <a:r>
              <a:rPr lang="en-US" sz="2400" b="1">
                <a:solidFill>
                  <a:schemeClr val="accent6">
                    <a:lumMod val="50000"/>
                  </a:schemeClr>
                </a:solidFill>
              </a:rPr>
              <a:t>Achieved</a:t>
            </a:r>
          </a:p>
        </c:rich>
      </c:tx>
      <c:layout>
        <c:manualLayout>
          <c:xMode val="edge"/>
          <c:yMode val="edge"/>
          <c:x val="1.9706089151501651E-2"/>
          <c:y val="7.0833333333333331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accent6">
                  <a:lumMod val="50000"/>
                </a:schemeClr>
              </a:solidFill>
              <a:latin typeface="+mn-lt"/>
              <a:ea typeface="+mn-ea"/>
              <a:cs typeface="+mn-cs"/>
            </a:defRPr>
          </a:pPr>
          <a:endParaRPr lang="en-US"/>
        </a:p>
      </c:txPr>
    </c:title>
    <c:autoTitleDeleted val="0"/>
    <c:plotArea>
      <c:layout>
        <c:manualLayout>
          <c:layoutTarget val="inner"/>
          <c:xMode val="edge"/>
          <c:yMode val="edge"/>
          <c:x val="0.4498057044034221"/>
          <c:y val="0.10572900262467191"/>
          <c:w val="0.43760416803140872"/>
          <c:h val="0.82187532808398955"/>
        </c:manualLayout>
      </c:layout>
      <c:doughnutChart>
        <c:varyColors val="1"/>
        <c:ser>
          <c:idx val="0"/>
          <c:order val="0"/>
          <c:spPr>
            <a:solidFill>
              <a:schemeClr val="accent5">
                <a:lumMod val="75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DB5A-4627-BC79-07CE81215741}"/>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DB5A-4627-BC79-07CE81215741}"/>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DB5A-4627-BC79-07CE81215741}"/>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DB5A-4627-BC79-07CE81215741}"/>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DB5A-4627-BC79-07CE81215741}"/>
              </c:ext>
            </c:extLst>
          </c:dPt>
          <c:dPt>
            <c:idx val="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DB5A-4627-BC79-07CE81215741}"/>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DB5A-4627-BC79-07CE81215741}"/>
              </c:ext>
            </c:extLst>
          </c:dPt>
          <c:dPt>
            <c:idx val="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F-DB5A-4627-BC79-07CE81215741}"/>
              </c:ext>
            </c:extLst>
          </c:dPt>
          <c:dPt>
            <c:idx val="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1-DB5A-4627-BC79-07CE81215741}"/>
              </c:ext>
            </c:extLst>
          </c:dPt>
          <c:dPt>
            <c:idx val="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3-DB5A-4627-BC79-07CE81215741}"/>
              </c:ext>
            </c:extLst>
          </c:dPt>
          <c:dPt>
            <c:idx val="1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5-DB5A-4627-BC79-07CE81215741}"/>
              </c:ext>
            </c:extLst>
          </c:dPt>
          <c:dPt>
            <c:idx val="1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7-DB5A-4627-BC79-07CE81215741}"/>
              </c:ext>
            </c:extLst>
          </c:dPt>
          <c:dPt>
            <c:idx val="1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9-DB5A-4627-BC79-07CE81215741}"/>
              </c:ext>
            </c:extLst>
          </c:dPt>
          <c:dPt>
            <c:idx val="1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B-DB5A-4627-BC79-07CE81215741}"/>
              </c:ext>
            </c:extLst>
          </c:dPt>
          <c:dPt>
            <c:idx val="1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D-DB5A-4627-BC79-07CE81215741}"/>
              </c:ext>
            </c:extLst>
          </c:dPt>
          <c:dPt>
            <c:idx val="1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F-DB5A-4627-BC79-07CE81215741}"/>
              </c:ext>
            </c:extLst>
          </c:dPt>
          <c:dPt>
            <c:idx val="1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1-DB5A-4627-BC79-07CE81215741}"/>
              </c:ext>
            </c:extLst>
          </c:dPt>
          <c:dPt>
            <c:idx val="1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3-DB5A-4627-BC79-07CE81215741}"/>
              </c:ext>
            </c:extLst>
          </c:dPt>
          <c:dPt>
            <c:idx val="1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5-DB5A-4627-BC79-07CE81215741}"/>
              </c:ext>
            </c:extLst>
          </c:dPt>
          <c:dPt>
            <c:idx val="1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7-DB5A-4627-BC79-07CE81215741}"/>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B5A-4627-BC79-07CE81215741}"/>
            </c:ext>
          </c:extLst>
        </c:ser>
        <c:dLbls>
          <c:showLegendKey val="0"/>
          <c:showVal val="0"/>
          <c:showCatName val="0"/>
          <c:showSerName val="0"/>
          <c:showPercent val="0"/>
          <c:showBubbleSize val="0"/>
          <c:showLeaderLines val="1"/>
        </c:dLbls>
        <c:firstSliceAng val="0"/>
        <c:holeSize val="50"/>
      </c:doughnutChart>
      <c:doughnutChart>
        <c:varyColors val="1"/>
        <c:ser>
          <c:idx val="1"/>
          <c:order val="1"/>
          <c:tx>
            <c:strRef>
              <c:f>'YTD Summary'!$F$3</c:f>
              <c:strCache>
                <c:ptCount val="1"/>
                <c:pt idx="0">
                  <c:v>Commission Performance</c:v>
                </c:pt>
              </c:strCache>
            </c:strRef>
          </c:tx>
          <c:dPt>
            <c:idx val="0"/>
            <c:bubble3D val="0"/>
            <c:spPr>
              <a:noFill/>
              <a:ln w="19050">
                <a:solidFill>
                  <a:schemeClr val="lt1"/>
                </a:solidFill>
              </a:ln>
              <a:effectLst/>
            </c:spPr>
            <c:extLst>
              <c:ext xmlns:c16="http://schemas.microsoft.com/office/drawing/2014/chart" uri="{C3380CC4-5D6E-409C-BE32-E72D297353CC}">
                <c16:uniqueId val="{0000002B-DB5A-4627-BC79-07CE81215741}"/>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2C-DB5A-4627-BC79-07CE81215741}"/>
              </c:ext>
            </c:extLst>
          </c:dPt>
          <c:val>
            <c:numRef>
              <c:f>'YTD Summary'!$G$3:$H$3</c:f>
              <c:numCache>
                <c:formatCode>0%</c:formatCode>
                <c:ptCount val="2"/>
                <c:pt idx="0">
                  <c:v>0.59588125326399999</c:v>
                </c:pt>
                <c:pt idx="1">
                  <c:v>0.40411874673600001</c:v>
                </c:pt>
              </c:numCache>
            </c:numRef>
          </c:val>
          <c:extLst>
            <c:ext xmlns:c16="http://schemas.microsoft.com/office/drawing/2014/chart" uri="{C3380CC4-5D6E-409C-BE32-E72D297353CC}">
              <c16:uniqueId val="{0000002A-DB5A-4627-BC79-07CE8121574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strRef>
          <c:f>'Fee calc_closed Transactions'!$B$71</c:f>
          <c:strCache>
            <c:ptCount val="1"/>
            <c:pt idx="0">
              <c:v>% of Office Fees Paid</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91086057424638"/>
          <c:y val="0.29726944643283226"/>
          <c:w val="0.70540015550254997"/>
          <c:h val="0.66521365227073892"/>
        </c:manualLayout>
      </c:layout>
      <c:doughnutChart>
        <c:varyColors val="1"/>
        <c:ser>
          <c:idx val="0"/>
          <c:order val="0"/>
          <c:spPr>
            <a:solidFill>
              <a:schemeClr val="accent5">
                <a:lumMod val="75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39B9-4C20-B508-B7BF3E3584A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39B9-4C20-B508-B7BF3E3584A9}"/>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39B9-4C20-B508-B7BF3E3584A9}"/>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39B9-4C20-B508-B7BF3E3584A9}"/>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39B9-4C20-B508-B7BF3E3584A9}"/>
              </c:ext>
            </c:extLst>
          </c:dPt>
          <c:dPt>
            <c:idx val="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39B9-4C20-B508-B7BF3E3584A9}"/>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39B9-4C20-B508-B7BF3E3584A9}"/>
              </c:ext>
            </c:extLst>
          </c:dPt>
          <c:dPt>
            <c:idx val="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F-39B9-4C20-B508-B7BF3E3584A9}"/>
              </c:ext>
            </c:extLst>
          </c:dPt>
          <c:dPt>
            <c:idx val="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1-39B9-4C20-B508-B7BF3E3584A9}"/>
              </c:ext>
            </c:extLst>
          </c:dPt>
          <c:dPt>
            <c:idx val="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3-39B9-4C20-B508-B7BF3E3584A9}"/>
              </c:ext>
            </c:extLst>
          </c:dPt>
          <c:dPt>
            <c:idx val="1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5-39B9-4C20-B508-B7BF3E3584A9}"/>
              </c:ext>
            </c:extLst>
          </c:dPt>
          <c:dPt>
            <c:idx val="1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7-39B9-4C20-B508-B7BF3E3584A9}"/>
              </c:ext>
            </c:extLst>
          </c:dPt>
          <c:dPt>
            <c:idx val="1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9-39B9-4C20-B508-B7BF3E3584A9}"/>
              </c:ext>
            </c:extLst>
          </c:dPt>
          <c:dPt>
            <c:idx val="1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B-39B9-4C20-B508-B7BF3E3584A9}"/>
              </c:ext>
            </c:extLst>
          </c:dPt>
          <c:dPt>
            <c:idx val="1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D-39B9-4C20-B508-B7BF3E3584A9}"/>
              </c:ext>
            </c:extLst>
          </c:dPt>
          <c:dPt>
            <c:idx val="1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F-39B9-4C20-B508-B7BF3E3584A9}"/>
              </c:ext>
            </c:extLst>
          </c:dPt>
          <c:dPt>
            <c:idx val="1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1-39B9-4C20-B508-B7BF3E3584A9}"/>
              </c:ext>
            </c:extLst>
          </c:dPt>
          <c:dPt>
            <c:idx val="1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3-39B9-4C20-B508-B7BF3E3584A9}"/>
              </c:ext>
            </c:extLst>
          </c:dPt>
          <c:dPt>
            <c:idx val="1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5-39B9-4C20-B508-B7BF3E3584A9}"/>
              </c:ext>
            </c:extLst>
          </c:dPt>
          <c:dPt>
            <c:idx val="1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7-39B9-4C20-B508-B7BF3E3584A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9B9-4C20-B508-B7BF3E3584A9}"/>
            </c:ext>
          </c:extLst>
        </c:ser>
        <c:dLbls>
          <c:showLegendKey val="0"/>
          <c:showVal val="0"/>
          <c:showCatName val="0"/>
          <c:showSerName val="0"/>
          <c:showPercent val="0"/>
          <c:showBubbleSize val="0"/>
          <c:showLeaderLines val="1"/>
        </c:dLbls>
        <c:firstSliceAng val="0"/>
        <c:holeSize val="50"/>
      </c:doughnutChart>
      <c:doughnutChart>
        <c:varyColors val="1"/>
        <c:ser>
          <c:idx val="1"/>
          <c:order val="1"/>
          <c:tx>
            <c:strRef>
              <c:f>'Fee calc_closed Transactions'!$B$71</c:f>
              <c:strCache>
                <c:ptCount val="1"/>
                <c:pt idx="0">
                  <c:v>% of Office Fees Paid</c:v>
                </c:pt>
              </c:strCache>
            </c:strRef>
          </c:tx>
          <c:spPr>
            <a:noFill/>
          </c:spPr>
          <c:dPt>
            <c:idx val="0"/>
            <c:bubble3D val="0"/>
            <c:spPr>
              <a:noFill/>
              <a:ln w="19050">
                <a:solidFill>
                  <a:schemeClr val="lt1"/>
                </a:solidFill>
              </a:ln>
              <a:effectLst/>
            </c:spPr>
            <c:extLst>
              <c:ext xmlns:c16="http://schemas.microsoft.com/office/drawing/2014/chart" uri="{C3380CC4-5D6E-409C-BE32-E72D297353CC}">
                <c16:uniqueId val="{0000002A-39B9-4C20-B508-B7BF3E3584A9}"/>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2C-39B9-4C20-B508-B7BF3E3584A9}"/>
              </c:ext>
            </c:extLst>
          </c:dPt>
          <c:val>
            <c:numRef>
              <c:f>'Fee calc_closed Transactions'!$C$71:$D$71</c:f>
              <c:numCache>
                <c:formatCode>0%</c:formatCode>
                <c:ptCount val="2"/>
                <c:pt idx="0">
                  <c:v>2.6978781372400005</c:v>
                </c:pt>
                <c:pt idx="1">
                  <c:v>-1.6978781372400005</c:v>
                </c:pt>
              </c:numCache>
            </c:numRef>
          </c:val>
          <c:extLst>
            <c:ext xmlns:c16="http://schemas.microsoft.com/office/drawing/2014/chart" uri="{C3380CC4-5D6E-409C-BE32-E72D297353CC}">
              <c16:uniqueId val="{0000002D-39B9-4C20-B508-B7BF3E3584A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0" i="0" u="none" strike="noStrike" kern="1200" baseline="0">
                <a:solidFill>
                  <a:srgbClr val="000000"/>
                </a:solidFill>
                <a:latin typeface="+mn-lt"/>
                <a:ea typeface="Arial"/>
                <a:cs typeface="Arial"/>
              </a:defRPr>
            </a:pPr>
            <a:r>
              <a:rPr lang="en-US" sz="2000"/>
              <a:t>Net Commission Trend</a:t>
            </a:r>
          </a:p>
        </c:rich>
      </c:tx>
      <c:layout>
        <c:manualLayout>
          <c:xMode val="edge"/>
          <c:yMode val="edge"/>
          <c:x val="3.0165887648573152E-2"/>
          <c:y val="6.5227812625116788E-2"/>
        </c:manualLayout>
      </c:layout>
      <c:overlay val="0"/>
      <c:spPr>
        <a:noFill/>
        <a:ln w="25400">
          <a:noFill/>
        </a:ln>
        <a:effectLst/>
      </c:spPr>
      <c:txPr>
        <a:bodyPr rot="0" spcFirstLastPara="1" vertOverflow="ellipsis" vert="horz" wrap="square" anchor="ctr" anchorCtr="1"/>
        <a:lstStyle/>
        <a:p>
          <a:pPr>
            <a:defRPr sz="2000" b="0" i="0" u="none" strike="noStrike" kern="1200" baseline="0">
              <a:solidFill>
                <a:srgbClr val="000000"/>
              </a:solidFill>
              <a:latin typeface="+mn-lt"/>
              <a:ea typeface="Arial"/>
              <a:cs typeface="Arial"/>
            </a:defRPr>
          </a:pPr>
          <a:endParaRPr lang="en-US"/>
        </a:p>
      </c:txPr>
    </c:title>
    <c:autoTitleDeleted val="0"/>
    <c:plotArea>
      <c:layout>
        <c:manualLayout>
          <c:layoutTarget val="inner"/>
          <c:xMode val="edge"/>
          <c:yMode val="edge"/>
          <c:x val="0.15623741148644332"/>
          <c:y val="0.28140159522861197"/>
          <c:w val="0.83157930768758737"/>
          <c:h val="0.6195663134877315"/>
        </c:manualLayout>
      </c:layout>
      <c:lineChart>
        <c:grouping val="standard"/>
        <c:varyColors val="0"/>
        <c:ser>
          <c:idx val="0"/>
          <c:order val="0"/>
          <c:tx>
            <c:v>YTD</c:v>
          </c:tx>
          <c:spPr>
            <a:ln w="28575" cap="rnd" cmpd="sng" algn="ctr">
              <a:solidFill>
                <a:schemeClr val="accent5">
                  <a:tint val="77000"/>
                  <a:shade val="95000"/>
                  <a:satMod val="105000"/>
                </a:schemeClr>
              </a:solidFill>
              <a:prstDash val="solid"/>
              <a:round/>
            </a:ln>
            <a:effectLst/>
          </c:spPr>
          <c:marker>
            <c:symbol val="diamond"/>
            <c:size val="9"/>
            <c:spPr>
              <a:solidFill>
                <a:schemeClr val="accent5">
                  <a:tint val="77000"/>
                </a:schemeClr>
              </a:solidFill>
              <a:ln w="9525" cap="flat" cmpd="sng" algn="ctr">
                <a:solidFill>
                  <a:schemeClr val="accent5">
                    <a:tint val="77000"/>
                    <a:shade val="95000"/>
                    <a:satMod val="105000"/>
                  </a:schemeClr>
                </a:solidFill>
                <a:prstDash val="solid"/>
                <a:round/>
              </a:ln>
              <a:effectLst/>
            </c:spPr>
          </c:marker>
          <c:cat>
            <c:strRef>
              <c:f>('Closed Transactions'!$Q$2,'Closed Transactions'!$S$2,'Closed Transactions'!$U$2,'Closed Transactions'!$W$2,'Closed Transactions'!$Y$2,'Closed Transactions'!$AA$2,'Closed Transactions'!$AC$2,'Closed Transactions'!$AE$2,'Closed Transactions'!$AG$2,'Closed Transactions'!$AI$2,'Closed Transactions'!$AK$2,'Closed Transactions'!$AM$2)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('Closed Transactions'!$Q$68,'Closed Transactions'!$S$68,'Closed Transactions'!$U$68,'Closed Transactions'!$W$68,'Closed Transactions'!$Y$68,'Closed Transactions'!$AA$68,'Closed Transactions'!$AC$68,'Closed Transactions'!$AE$68,'Closed Transactions'!$AG$68,'Closed Transactions'!$AI$68,'Closed Transactions'!$AK$68,'Closed Transactions'!$AM$68)</c:f>
              <c:numCache>
                <c:formatCode>0</c:formatCode>
                <c:ptCount val="12"/>
                <c:pt idx="0">
                  <c:v>10370</c:v>
                </c:pt>
                <c:pt idx="1">
                  <c:v>17250</c:v>
                </c:pt>
                <c:pt idx="2">
                  <c:v>21631.325000000001</c:v>
                </c:pt>
                <c:pt idx="3">
                  <c:v>73906.324999999997</c:v>
                </c:pt>
                <c:pt idx="4">
                  <c:v>73906.324999999997</c:v>
                </c:pt>
                <c:pt idx="5">
                  <c:v>78878.824999999997</c:v>
                </c:pt>
                <c:pt idx="6">
                  <c:v>83425.263054879993</c:v>
                </c:pt>
                <c:pt idx="7">
                  <c:v>87626.388054879993</c:v>
                </c:pt>
                <c:pt idx="8">
                  <c:v>100716.38805487999</c:v>
                </c:pt>
                <c:pt idx="9">
                  <c:v>100716.38805487999</c:v>
                </c:pt>
                <c:pt idx="10">
                  <c:v>100716.38805487999</c:v>
                </c:pt>
                <c:pt idx="11">
                  <c:v>100716.38805487999</c:v>
                </c:pt>
              </c:numCache>
            </c:numRef>
          </c:val>
          <c:smooth val="0"/>
          <c:extLst>
            <c:ext xmlns:c16="http://schemas.microsoft.com/office/drawing/2014/chart" uri="{C3380CC4-5D6E-409C-BE32-E72D297353CC}">
              <c16:uniqueId val="{00000000-F2AA-495E-B7A0-4EC40832A99F}"/>
            </c:ext>
          </c:extLst>
        </c:ser>
        <c:ser>
          <c:idx val="1"/>
          <c:order val="1"/>
          <c:tx>
            <c:v>Projected</c:v>
          </c:tx>
          <c:spPr>
            <a:ln w="28575" cap="rnd" cmpd="sng" algn="ctr">
              <a:solidFill>
                <a:schemeClr val="accent5">
                  <a:shade val="76000"/>
                  <a:shade val="95000"/>
                  <a:satMod val="105000"/>
                </a:schemeClr>
              </a:solidFill>
              <a:prstDash val="solid"/>
              <a:round/>
            </a:ln>
            <a:effectLst/>
          </c:spPr>
          <c:marker>
            <c:symbol val="square"/>
            <c:size val="5"/>
            <c:spPr>
              <a:solidFill>
                <a:schemeClr val="accent5">
                  <a:shade val="76000"/>
                </a:schemeClr>
              </a:solidFill>
              <a:ln w="9525" cap="flat" cmpd="sng" algn="ctr">
                <a:solidFill>
                  <a:schemeClr val="accent5">
                    <a:shade val="76000"/>
                    <a:shade val="95000"/>
                    <a:satMod val="105000"/>
                  </a:schemeClr>
                </a:solidFill>
                <a:prstDash val="solid"/>
                <a:round/>
              </a:ln>
              <a:effectLst/>
            </c:spPr>
          </c:marker>
          <c:val>
            <c:numRef>
              <c:f>('Closed Transactions'!$Q$69,'Closed Transactions'!$S$69,'Closed Transactions'!$U$69,'Closed Transactions'!$W$69,'Closed Transactions'!$Y$69,'Closed Transactions'!$AA$69,'Closed Transactions'!$AC$69,'Closed Transactions'!$AE$69,'Closed Transactions'!$AG$69,'Closed Transactions'!$AI$69,'Closed Transactions'!$AK$69,'Closed Transactions'!$AM$69)</c:f>
              <c:numCache>
                <c:formatCode>0</c:formatCode>
                <c:ptCount val="12"/>
                <c:pt idx="0">
                  <c:v>8333</c:v>
                </c:pt>
                <c:pt idx="1">
                  <c:v>24999.666666666668</c:v>
                </c:pt>
                <c:pt idx="2">
                  <c:v>41666.333333333336</c:v>
                </c:pt>
                <c:pt idx="3">
                  <c:v>58333</c:v>
                </c:pt>
                <c:pt idx="4">
                  <c:v>74999.666666666672</c:v>
                </c:pt>
                <c:pt idx="5">
                  <c:v>91666.333333333343</c:v>
                </c:pt>
                <c:pt idx="6">
                  <c:v>108333.00000000001</c:v>
                </c:pt>
                <c:pt idx="7">
                  <c:v>124999.66666666669</c:v>
                </c:pt>
                <c:pt idx="8">
                  <c:v>141666.33333333334</c:v>
                </c:pt>
                <c:pt idx="9">
                  <c:v>158333</c:v>
                </c:pt>
                <c:pt idx="10">
                  <c:v>174999.66666666666</c:v>
                </c:pt>
                <c:pt idx="11">
                  <c:v>191666.33333333331</c:v>
                </c:pt>
              </c:numCache>
            </c:numRef>
          </c:val>
          <c:smooth val="0"/>
          <c:extLst>
            <c:ext xmlns:c16="http://schemas.microsoft.com/office/drawing/2014/chart" uri="{C3380CC4-5D6E-409C-BE32-E72D297353CC}">
              <c16:uniqueId val="{00000001-F2AA-495E-B7A0-4EC40832A99F}"/>
            </c:ext>
          </c:extLst>
        </c:ser>
        <c:dLbls>
          <c:showLegendKey val="0"/>
          <c:showVal val="0"/>
          <c:showCatName val="0"/>
          <c:showSerName val="0"/>
          <c:showPercent val="0"/>
          <c:showBubbleSize val="0"/>
        </c:dLbls>
        <c:marker val="1"/>
        <c:smooth val="0"/>
        <c:axId val="66714240"/>
        <c:axId val="66716416"/>
      </c:lineChart>
      <c:catAx>
        <c:axId val="66714240"/>
        <c:scaling>
          <c:orientation val="minMax"/>
        </c:scaling>
        <c:delete val="0"/>
        <c:axPos val="b"/>
        <c:numFmt formatCode="General" sourceLinked="1"/>
        <c:majorTickMark val="out"/>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200" b="0" i="0" u="none" strike="noStrike" kern="1200" baseline="0">
                <a:solidFill>
                  <a:srgbClr val="000000"/>
                </a:solidFill>
                <a:latin typeface="+mn-lt"/>
                <a:ea typeface="Arial"/>
                <a:cs typeface="Arial"/>
              </a:defRPr>
            </a:pPr>
            <a:endParaRPr lang="en-US"/>
          </a:p>
        </c:txPr>
        <c:crossAx val="66716416"/>
        <c:crosses val="autoZero"/>
        <c:auto val="1"/>
        <c:lblAlgn val="ctr"/>
        <c:lblOffset val="100"/>
        <c:tickLblSkip val="1"/>
        <c:tickMarkSkip val="1"/>
        <c:noMultiLvlLbl val="0"/>
      </c:catAx>
      <c:valAx>
        <c:axId val="66716416"/>
        <c:scaling>
          <c:orientation val="minMax"/>
        </c:scaling>
        <c:delete val="0"/>
        <c:axPos val="l"/>
        <c:majorGridlines>
          <c:spPr>
            <a:ln w="9525" cap="flat" cmpd="sng" algn="ctr">
              <a:solidFill>
                <a:schemeClr val="accent5">
                  <a:shade val="95000"/>
                  <a:satMod val="105000"/>
                </a:schemeClr>
              </a:solidFill>
              <a:prstDash val="solid"/>
              <a:round/>
            </a:ln>
            <a:effectLst/>
          </c:spPr>
        </c:majorGridlines>
        <c:numFmt formatCode="&quot;$&quot;#,##0" sourceLinked="0"/>
        <c:majorTickMark val="out"/>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200" b="0" i="0" u="none" strike="noStrike" kern="1200" baseline="0">
                <a:solidFill>
                  <a:srgbClr val="000000"/>
                </a:solidFill>
                <a:latin typeface="+mn-lt"/>
                <a:ea typeface="Arial"/>
                <a:cs typeface="Arial"/>
              </a:defRPr>
            </a:pPr>
            <a:endParaRPr lang="en-US"/>
          </a:p>
        </c:txPr>
        <c:crossAx val="66714240"/>
        <c:crosses val="autoZero"/>
        <c:crossBetween val="between"/>
      </c:valAx>
      <c:spPr>
        <a:noFill/>
        <a:ln w="12700">
          <a:solidFill>
            <a:srgbClr val="808080"/>
          </a:solidFill>
          <a:prstDash val="solid"/>
        </a:ln>
        <a:effectLst/>
      </c:spPr>
    </c:plotArea>
    <c:legend>
      <c:legendPos val="r"/>
      <c:layout>
        <c:manualLayout>
          <c:xMode val="edge"/>
          <c:yMode val="edge"/>
          <c:x val="0.60045764269138824"/>
          <c:y val="6.0429734418790883E-2"/>
          <c:w val="0.32581713411230967"/>
          <c:h val="0.19405525156813025"/>
        </c:manualLayout>
      </c:layout>
      <c:overlay val="0"/>
      <c:spPr>
        <a:noFill/>
        <a:ln w="3175">
          <a:noFill/>
          <a:prstDash val="solid"/>
        </a:ln>
        <a:effectLst/>
      </c:spPr>
      <c:txPr>
        <a:bodyPr rot="0" spcFirstLastPara="1" vertOverflow="ellipsis" vert="horz" wrap="square" anchor="ctr" anchorCtr="1"/>
        <a:lstStyle/>
        <a:p>
          <a:pPr>
            <a:defRPr sz="1200" b="0" i="0" u="none" strike="noStrike" kern="1200" baseline="0">
              <a:solidFill>
                <a:srgbClr val="000000"/>
              </a:solidFill>
              <a:latin typeface="+mn-lt"/>
              <a:ea typeface="Arial"/>
              <a:cs typeface="Arial"/>
            </a:defRPr>
          </a:pPr>
          <a:endParaRPr lang="en-US"/>
        </a:p>
      </c:txPr>
    </c:legend>
    <c:plotVisOnly val="1"/>
    <c:dispBlanksAs val="gap"/>
    <c:showDLblsOverMax val="0"/>
  </c:chart>
  <c:spPr>
    <a:solidFill>
      <a:schemeClr val="accent6">
        <a:lumMod val="20000"/>
        <a:lumOff val="80000"/>
      </a:schemeClr>
    </a:solidFill>
    <a:ln w="3175" cap="flat" cmpd="sng" algn="ctr">
      <a:solidFill>
        <a:srgbClr val="000000"/>
      </a:solidFill>
      <a:prstDash val="solid"/>
      <a:round/>
    </a:ln>
    <a:effectLst/>
  </c:spPr>
  <c:txPr>
    <a:bodyPr/>
    <a:lstStyle/>
    <a:p>
      <a:pPr>
        <a:defRPr sz="1200" b="0" i="0" u="none" strike="noStrike" baseline="0">
          <a:solidFill>
            <a:srgbClr val="000000"/>
          </a:solidFill>
          <a:latin typeface="+mn-lt"/>
          <a:ea typeface="Arial"/>
          <a:cs typeface="Arial"/>
        </a:defRPr>
      </a:pPr>
      <a:endParaRPr lang="en-US"/>
    </a:p>
  </c:txPr>
  <c:printSettings>
    <c:headerFooter alignWithMargins="0"/>
    <c:pageMargins b="1" l="0.75000000000000133" r="0.75000000000000133" t="1" header="0.5" footer="0.5"/>
    <c:pageSetup orientation="landscape" horizontalDpi="300" verticalDpi="30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Gross Income and "I" &amp; "P"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4"/>
          <c:tx>
            <c:strRef>
              <c:f>'PIE YTD-Overview'!$W$2</c:f>
              <c:strCache>
                <c:ptCount val="1"/>
                <c:pt idx="0">
                  <c:v>Gross Income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'PIE YTD-Overview'!$P$3:$P$14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'PIE YTD-Overview'!$W$3:$W$14</c:f>
              <c:numCache>
                <c:formatCode>"$"#,##0</c:formatCode>
                <c:ptCount val="12"/>
                <c:pt idx="0">
                  <c:v>15250</c:v>
                </c:pt>
                <c:pt idx="1">
                  <c:v>10000.000000000002</c:v>
                </c:pt>
                <c:pt idx="2">
                  <c:v>3657.5</c:v>
                </c:pt>
                <c:pt idx="3">
                  <c:v>61500</c:v>
                </c:pt>
                <c:pt idx="4">
                  <c:v>0</c:v>
                </c:pt>
                <c:pt idx="5">
                  <c:v>2925</c:v>
                </c:pt>
                <c:pt idx="6">
                  <c:v>7148.7506528000004</c:v>
                </c:pt>
                <c:pt idx="7">
                  <c:v>3295</c:v>
                </c:pt>
                <c:pt idx="8">
                  <c:v>15400</c:v>
                </c:pt>
                <c:pt idx="9">
                  <c:v>0</c:v>
                </c:pt>
                <c:pt idx="10">
                  <c:v>0</c:v>
                </c:pt>
                <c:pt idx="11">
                  <c:v>0</c:v>
                </c:pt>
              </c:numCache>
            </c:numRef>
          </c:val>
          <c:extLst>
            <c:ext xmlns:c16="http://schemas.microsoft.com/office/drawing/2014/chart" uri="{C3380CC4-5D6E-409C-BE32-E72D297353CC}">
              <c16:uniqueId val="{00000004-E931-4E6F-B3A3-E2A785806FF3}"/>
            </c:ext>
          </c:extLst>
        </c:ser>
        <c:dLbls>
          <c:showLegendKey val="0"/>
          <c:showVal val="0"/>
          <c:showCatName val="0"/>
          <c:showSerName val="0"/>
          <c:showPercent val="0"/>
          <c:showBubbleSize val="0"/>
        </c:dLbls>
        <c:gapWidth val="68"/>
        <c:axId val="2100549663"/>
        <c:axId val="2100547743"/>
      </c:barChart>
      <c:lineChart>
        <c:grouping val="standard"/>
        <c:varyColors val="0"/>
        <c:ser>
          <c:idx val="1"/>
          <c:order val="1"/>
          <c:tx>
            <c:strRef>
              <c:f>'PIE YTD-Overview'!$R$2</c:f>
              <c:strCache>
                <c:ptCount val="1"/>
                <c:pt idx="0">
                  <c:v>I</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solidFill>
                <a:schemeClr val="accent1"/>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'PIE YTD-Overview'!$P$3:$P$14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'PIE YTD-Overview'!$R$3:$R$14</c:f>
              <c:numCache>
                <c:formatCode>General</c:formatCode>
                <c:ptCount val="12"/>
                <c:pt idx="0">
                  <c:v>61.24</c:v>
                </c:pt>
                <c:pt idx="1">
                  <c:v>53.25</c:v>
                </c:pt>
                <c:pt idx="2">
                  <c:v>66.75</c:v>
                </c:pt>
                <c:pt idx="3">
                  <c:v>50.25</c:v>
                </c:pt>
                <c:pt idx="4">
                  <c:v>57.25</c:v>
                </c:pt>
                <c:pt idx="5">
                  <c:v>35.25</c:v>
                </c:pt>
                <c:pt idx="6">
                  <c:v>48.75</c:v>
                </c:pt>
                <c:pt idx="7">
                  <c:v>60</c:v>
                </c:pt>
                <c:pt idx="8">
                  <c:v>44.5</c:v>
                </c:pt>
                <c:pt idx="9">
                  <c:v>43.95</c:v>
                </c:pt>
                <c:pt idx="10">
                  <c:v>28.75</c:v>
                </c:pt>
                <c:pt idx="11">
                  <c:v>26.75</c:v>
                </c:pt>
              </c:numCache>
            </c:numRef>
          </c:val>
          <c:smooth val="0"/>
          <c:extLst>
            <c:ext xmlns:c16="http://schemas.microsoft.com/office/drawing/2014/chart" uri="{C3380CC4-5D6E-409C-BE32-E72D297353CC}">
              <c16:uniqueId val="{00000001-E931-4E6F-B3A3-E2A785806FF3}"/>
            </c:ext>
          </c:extLst>
        </c:ser>
        <c:ser>
          <c:idx val="2"/>
          <c:order val="2"/>
          <c:tx>
            <c:strRef>
              <c:f>'PIE YTD-Overview'!$S$2</c:f>
              <c:strCache>
                <c:ptCount val="1"/>
                <c:pt idx="0">
                  <c:v>P</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'PIE YTD-Overview'!$P$3:$P$14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'PIE YTD-Overview'!$S$3:$S$14</c:f>
              <c:numCache>
                <c:formatCode>General</c:formatCode>
                <c:ptCount val="12"/>
                <c:pt idx="0">
                  <c:v>23.75</c:v>
                </c:pt>
                <c:pt idx="1">
                  <c:v>8.5</c:v>
                </c:pt>
                <c:pt idx="2">
                  <c:v>21.75</c:v>
                </c:pt>
                <c:pt idx="3">
                  <c:v>7.5</c:v>
                </c:pt>
                <c:pt idx="4">
                  <c:v>6.25</c:v>
                </c:pt>
                <c:pt idx="5">
                  <c:v>3.25</c:v>
                </c:pt>
                <c:pt idx="6">
                  <c:v>11.5</c:v>
                </c:pt>
                <c:pt idx="7">
                  <c:v>4.5</c:v>
                </c:pt>
                <c:pt idx="8">
                  <c:v>5</c:v>
                </c:pt>
                <c:pt idx="9">
                  <c:v>3.25</c:v>
                </c:pt>
                <c:pt idx="10">
                  <c:v>4</c:v>
                </c:pt>
                <c:pt idx="11">
                  <c:v>1.25</c:v>
                </c:pt>
              </c:numCache>
            </c:numRef>
          </c:val>
          <c:smooth val="0"/>
          <c:extLst>
            <c:ext xmlns:c16="http://schemas.microsoft.com/office/drawing/2014/chart" uri="{C3380CC4-5D6E-409C-BE32-E72D297353CC}">
              <c16:uniqueId val="{00000002-E931-4E6F-B3A3-E2A785806FF3}"/>
            </c:ext>
          </c:extLst>
        </c:ser>
        <c:dLbls>
          <c:showLegendKey val="0"/>
          <c:showVal val="0"/>
          <c:showCatName val="0"/>
          <c:showSerName val="0"/>
          <c:showPercent val="0"/>
          <c:showBubbleSize val="0"/>
        </c:dLbls>
        <c:marker val="1"/>
        <c:smooth val="0"/>
        <c:axId val="1928465775"/>
        <c:axId val="1928467695"/>
        <c:extLst>
          <c:ext xmlns:c15="http://schemas.microsoft.com/office/drawing/2012/chart" uri="{02D57815-91ED-43cb-92C2-25804820EDAC}">
            <c15:filteredLineSeries>
              <c15:ser>
                <c:idx val="0"/>
                <c:order val="0"/>
                <c:tx>
                  <c:strRef>
                    <c:extLst>
                      <c:ext uri="{02D57815-91ED-43cb-92C2-25804820EDAC}">
                        <c15:formulaRef>
                          <c15:sqref>'PIE YTD-Overview'!$Q$2</c15:sqref>
                        </c15:formulaRef>
                      </c:ext>
                    </c:extLst>
                    <c:strCache>
                      <c:ptCount val="1"/>
                      <c:pt idx="0">
                        <c:v>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extLst>
                      <c:ext uri="{02D57815-91ED-43cb-92C2-25804820EDAC}">
                        <c15:formulaRef>
                          <c15:sqref>'PIE YTD-Overview'!$P$3:$P$14</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'PIE YTD-Overview'!$Q$3:$Q$14</c15:sqref>
                        </c15:formulaRef>
                      </c:ext>
                    </c:extLst>
                    <c:numCache>
                      <c:formatCode>General</c:formatCode>
                      <c:ptCount val="12"/>
                      <c:pt idx="0">
                        <c:v>228.58332999999999</c:v>
                      </c:pt>
                      <c:pt idx="1">
                        <c:v>205.5</c:v>
                      </c:pt>
                      <c:pt idx="2">
                        <c:v>216.82999999999998</c:v>
                      </c:pt>
                      <c:pt idx="3">
                        <c:v>166</c:v>
                      </c:pt>
                      <c:pt idx="4">
                        <c:v>164.75</c:v>
                      </c:pt>
                      <c:pt idx="5">
                        <c:v>110.5</c:v>
                      </c:pt>
                      <c:pt idx="6">
                        <c:v>186.75</c:v>
                      </c:pt>
                      <c:pt idx="7">
                        <c:v>186</c:v>
                      </c:pt>
                      <c:pt idx="8">
                        <c:v>161</c:v>
                      </c:pt>
                      <c:pt idx="9">
                        <c:v>172.3</c:v>
                      </c:pt>
                      <c:pt idx="10">
                        <c:v>106.75</c:v>
                      </c:pt>
                      <c:pt idx="11">
                        <c:v>86.25</c:v>
                      </c:pt>
                    </c:numCache>
                  </c:numRef>
                </c:val>
                <c:smooth val="0"/>
                <c:extLst>
                  <c:ext xmlns:c16="http://schemas.microsoft.com/office/drawing/2014/chart" uri="{C3380CC4-5D6E-409C-BE32-E72D297353CC}">
                    <c16:uniqueId val="{00000000-E931-4E6F-B3A3-E2A785806FF3}"/>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'PIE YTD-Overview'!$T$2</c15:sqref>
                        </c15:formulaRef>
                      </c:ext>
                    </c:extLst>
                    <c:strCache>
                      <c:ptCount val="1"/>
                      <c:pt idx="0">
                        <c:v>E</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extLst xmlns:c15="http://schemas.microsoft.com/office/drawing/2012/chart">
                      <c:ext xmlns:c15="http://schemas.microsoft.com/office/drawing/2012/chart" uri="{02D57815-91ED-43cb-92C2-25804820EDAC}">
                        <c15:formulaRef>
                          <c15:sqref>'PIE YTD-Overview'!$P$3:$P$14</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'PIE YTD-Overview'!$T$3:$T$14</c15:sqref>
                        </c15:formulaRef>
                      </c:ext>
                    </c:extLst>
                    <c:numCache>
                      <c:formatCode>General</c:formatCode>
                      <c:ptCount val="12"/>
                      <c:pt idx="0">
                        <c:v>143.59333000000001</c:v>
                      </c:pt>
                      <c:pt idx="1">
                        <c:v>143.75</c:v>
                      </c:pt>
                      <c:pt idx="2">
                        <c:v>128.32999999999998</c:v>
                      </c:pt>
                      <c:pt idx="3">
                        <c:v>108.25</c:v>
                      </c:pt>
                      <c:pt idx="4">
                        <c:v>101.25</c:v>
                      </c:pt>
                      <c:pt idx="5">
                        <c:v>72</c:v>
                      </c:pt>
                      <c:pt idx="6">
                        <c:v>126.5</c:v>
                      </c:pt>
                      <c:pt idx="7">
                        <c:v>121.5</c:v>
                      </c:pt>
                      <c:pt idx="8">
                        <c:v>111.5</c:v>
                      </c:pt>
                      <c:pt idx="9">
                        <c:v>125.1</c:v>
                      </c:pt>
                      <c:pt idx="10">
                        <c:v>0</c:v>
                      </c:pt>
                      <c:pt idx="11">
                        <c:v>58.25</c:v>
                      </c:pt>
                    </c:numCache>
                  </c:numRef>
                </c:val>
                <c:smooth val="0"/>
                <c:extLst xmlns:c15="http://schemas.microsoft.com/office/drawing/2012/chart">
                  <c:ext xmlns:c16="http://schemas.microsoft.com/office/drawing/2014/chart" uri="{C3380CC4-5D6E-409C-BE32-E72D297353CC}">
                    <c16:uniqueId val="{00000003-E931-4E6F-B3A3-E2A785806FF3}"/>
                  </c:ext>
                </c:extLst>
              </c15:ser>
            </c15:filteredLineSeries>
          </c:ext>
        </c:extLst>
      </c:lineChart>
      <c:catAx>
        <c:axId val="2100549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100547743"/>
        <c:crosses val="autoZero"/>
        <c:auto val="1"/>
        <c:lblAlgn val="ctr"/>
        <c:lblOffset val="100"/>
        <c:noMultiLvlLbl val="0"/>
      </c:catAx>
      <c:valAx>
        <c:axId val="2100547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100549663"/>
        <c:crosses val="autoZero"/>
        <c:crossBetween val="between"/>
      </c:valAx>
      <c:valAx>
        <c:axId val="1928467695"/>
        <c:scaling>
          <c:orientation val="minMax"/>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Monthly "I" &amp; "P" hours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28465775"/>
        <c:crosses val="max"/>
        <c:crossBetween val="between"/>
      </c:valAx>
      <c:catAx>
        <c:axId val="1928465775"/>
        <c:scaling>
          <c:orientation val="minMax"/>
        </c:scaling>
        <c:delete val="1"/>
        <c:axPos val="b"/>
        <c:numFmt formatCode="General" sourceLinked="1"/>
        <c:majorTickMark val="none"/>
        <c:minorTickMark val="none"/>
        <c:tickLblPos val="nextTo"/>
        <c:crossAx val="192846769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7</xdr:col>
      <xdr:colOff>76959</xdr:colOff>
      <xdr:row>2</xdr:row>
      <xdr:rowOff>217458</xdr:rowOff>
    </xdr:from>
    <xdr:to>
      <xdr:col>10</xdr:col>
      <xdr:colOff>106869</xdr:colOff>
      <xdr:row>5</xdr:row>
      <xdr:rowOff>116110</xdr:rowOff>
    </xdr:to>
    <xdr:pic>
      <xdr:nvPicPr>
        <xdr:cNvPr id="2" name="Graphic 1" descr="Back with solid fill">
          <a:extLst>
            <a:ext uri="{FF2B5EF4-FFF2-40B4-BE49-F238E27FC236}">
              <a16:creationId xmlns:a16="http://schemas.microsoft.com/office/drawing/2014/main" id="{6E82CEE7-995A-488D-A289-283A0D31F8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7439784" y="808008"/>
          <a:ext cx="772860" cy="1003552"/>
        </a:xfrm>
        <a:prstGeom prst="rect">
          <a:avLst/>
        </a:prstGeom>
        <a:effectLst>
          <a:outerShdw blurRad="50800" dist="38100" dir="2700000" algn="tl" rotWithShape="0">
            <a:prstClr val="black">
              <a:alpha val="40000"/>
            </a:prstClr>
          </a:outerShdw>
        </a:effectLst>
      </xdr:spPr>
    </xdr:pic>
    <xdr:clientData/>
  </xdr:twoCellAnchor>
  <xdr:twoCellAnchor editAs="oneCell">
    <xdr:from>
      <xdr:col>6</xdr:col>
      <xdr:colOff>572636</xdr:colOff>
      <xdr:row>7</xdr:row>
      <xdr:rowOff>315326</xdr:rowOff>
    </xdr:from>
    <xdr:to>
      <xdr:col>10</xdr:col>
      <xdr:colOff>232666</xdr:colOff>
      <xdr:row>9</xdr:row>
      <xdr:rowOff>375129</xdr:rowOff>
    </xdr:to>
    <xdr:pic>
      <xdr:nvPicPr>
        <xdr:cNvPr id="3" name="Graphic 2" descr="Back with solid fill">
          <a:extLst>
            <a:ext uri="{FF2B5EF4-FFF2-40B4-BE49-F238E27FC236}">
              <a16:creationId xmlns:a16="http://schemas.microsoft.com/office/drawing/2014/main" id="{06C4FC55-BC58-4A35-97E1-E1EB88ADA6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308636">
          <a:off x="6897236" y="3258551"/>
          <a:ext cx="1222130" cy="955153"/>
        </a:xfrm>
        <a:prstGeom prst="rect">
          <a:avLst/>
        </a:prstGeom>
        <a:effectLst>
          <a:outerShdw blurRad="50800" dist="38100" dir="2700000" algn="tl" rotWithShape="0">
            <a:prstClr val="black">
              <a:alpha val="40000"/>
            </a:prstClr>
          </a:outerShdw>
        </a:effectLst>
      </xdr:spPr>
    </xdr:pic>
    <xdr:clientData/>
  </xdr:twoCellAnchor>
  <xdr:oneCellAnchor>
    <xdr:from>
      <xdr:col>6</xdr:col>
      <xdr:colOff>809552</xdr:colOff>
      <xdr:row>11</xdr:row>
      <xdr:rowOff>155929</xdr:rowOff>
    </xdr:from>
    <xdr:ext cx="982356" cy="914400"/>
    <xdr:pic>
      <xdr:nvPicPr>
        <xdr:cNvPr id="4" name="Graphic 3" descr="Back with solid fill">
          <a:extLst>
            <a:ext uri="{FF2B5EF4-FFF2-40B4-BE49-F238E27FC236}">
              <a16:creationId xmlns:a16="http://schemas.microsoft.com/office/drawing/2014/main" id="{9533FAC7-5029-456E-9A5D-4268831DFD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7353227" y="4051654"/>
          <a:ext cx="982356" cy="914400"/>
        </a:xfrm>
        <a:prstGeom prst="rect">
          <a:avLst/>
        </a:prstGeom>
        <a:effectLst>
          <a:outerShdw blurRad="50800" dist="38100" dir="2700000" algn="tl" rotWithShape="0">
            <a:prstClr val="black">
              <a:alpha val="40000"/>
            </a:prstClr>
          </a:outerShdw>
        </a:effectLst>
      </xdr:spPr>
    </xdr:pic>
    <xdr:clientData/>
  </xdr:oneCellAnchor>
  <xdr:oneCellAnchor>
    <xdr:from>
      <xdr:col>7</xdr:col>
      <xdr:colOff>4080</xdr:colOff>
      <xdr:row>16</xdr:row>
      <xdr:rowOff>168727</xdr:rowOff>
    </xdr:from>
    <xdr:ext cx="914400" cy="914400"/>
    <xdr:pic>
      <xdr:nvPicPr>
        <xdr:cNvPr id="7" name="Graphic 6" descr="Back with solid fill">
          <a:extLst>
            <a:ext uri="{FF2B5EF4-FFF2-40B4-BE49-F238E27FC236}">
              <a16:creationId xmlns:a16="http://schemas.microsoft.com/office/drawing/2014/main" id="{A4B01846-CD76-4C5A-BC06-897CF6C6B3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5671455" y="9207952"/>
          <a:ext cx="914400" cy="914400"/>
        </a:xfrm>
        <a:prstGeom prst="rect">
          <a:avLst/>
        </a:prstGeom>
        <a:effectLst>
          <a:outerShdw blurRad="50800" dist="38100" dir="2700000" algn="tl" rotWithShape="0">
            <a:prstClr val="black">
              <a:alpha val="40000"/>
            </a:prstClr>
          </a:outerShdw>
        </a:effectLst>
      </xdr:spPr>
    </xdr:pic>
    <xdr:clientData/>
  </xdr:oneCellAnchor>
  <xdr:oneCellAnchor>
    <xdr:from>
      <xdr:col>7</xdr:col>
      <xdr:colOff>106134</xdr:colOff>
      <xdr:row>19</xdr:row>
      <xdr:rowOff>125176</xdr:rowOff>
    </xdr:from>
    <xdr:ext cx="914400" cy="914400"/>
    <xdr:pic>
      <xdr:nvPicPr>
        <xdr:cNvPr id="8" name="Graphic 7" descr="Back with solid fill">
          <a:extLst>
            <a:ext uri="{FF2B5EF4-FFF2-40B4-BE49-F238E27FC236}">
              <a16:creationId xmlns:a16="http://schemas.microsoft.com/office/drawing/2014/main" id="{F2E9E6A8-2CC6-4575-833D-2A160F56A5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5773509" y="10393126"/>
          <a:ext cx="914400" cy="914400"/>
        </a:xfrm>
        <a:prstGeom prst="rect">
          <a:avLst/>
        </a:prstGeom>
        <a:effectLst>
          <a:outerShdw blurRad="50800" dist="38100" dir="2700000" algn="tl" rotWithShape="0">
            <a:prstClr val="black">
              <a:alpha val="40000"/>
            </a:prstClr>
          </a:outerShdw>
        </a:effectLst>
      </xdr:spPr>
    </xdr:pic>
    <xdr:clientData/>
  </xdr:oneCellAnchor>
  <xdr:oneCellAnchor>
    <xdr:from>
      <xdr:col>2</xdr:col>
      <xdr:colOff>976907</xdr:colOff>
      <xdr:row>27</xdr:row>
      <xdr:rowOff>331007</xdr:rowOff>
    </xdr:from>
    <xdr:ext cx="711659" cy="711659"/>
    <xdr:pic>
      <xdr:nvPicPr>
        <xdr:cNvPr id="16" name="Graphic 15" descr="Back with solid fill">
          <a:extLst>
            <a:ext uri="{FF2B5EF4-FFF2-40B4-BE49-F238E27FC236}">
              <a16:creationId xmlns:a16="http://schemas.microsoft.com/office/drawing/2014/main" id="{06EB630E-6C93-4574-9194-7D184CD7C2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3453407" y="12151532"/>
          <a:ext cx="711659" cy="711659"/>
        </a:xfrm>
        <a:prstGeom prst="rect">
          <a:avLst/>
        </a:prstGeom>
        <a:effectLst>
          <a:outerShdw blurRad="50800" dist="38100" dir="2700000" algn="tl" rotWithShape="0">
            <a:schemeClr val="bg1">
              <a:alpha val="40000"/>
            </a:schemeClr>
          </a:outerShdw>
        </a:effectLst>
      </xdr:spPr>
    </xdr:pic>
    <xdr:clientData/>
  </xdr:oneCellAnchor>
  <xdr:oneCellAnchor>
    <xdr:from>
      <xdr:col>2</xdr:col>
      <xdr:colOff>1188430</xdr:colOff>
      <xdr:row>33</xdr:row>
      <xdr:rowOff>137785</xdr:rowOff>
    </xdr:from>
    <xdr:ext cx="1115462" cy="914400"/>
    <xdr:pic>
      <xdr:nvPicPr>
        <xdr:cNvPr id="17" name="Graphic 16" descr="Back with solid fill">
          <a:extLst>
            <a:ext uri="{FF2B5EF4-FFF2-40B4-BE49-F238E27FC236}">
              <a16:creationId xmlns:a16="http://schemas.microsoft.com/office/drawing/2014/main" id="{DF31039E-F7AA-4674-9F38-136F236EB5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3664930" y="12806035"/>
          <a:ext cx="1115462" cy="914400"/>
        </a:xfrm>
        <a:prstGeom prst="rect">
          <a:avLst/>
        </a:prstGeom>
        <a:effectLst>
          <a:outerShdw blurRad="50800" dist="38100" dir="2700000" algn="tl" rotWithShape="0">
            <a:schemeClr val="bg1">
              <a:alpha val="40000"/>
            </a:schemeClr>
          </a:outerShdw>
        </a:effectLst>
      </xdr:spPr>
    </xdr:pic>
    <xdr:clientData/>
  </xdr:oneCellAnchor>
  <xdr:oneCellAnchor>
    <xdr:from>
      <xdr:col>3</xdr:col>
      <xdr:colOff>131805</xdr:colOff>
      <xdr:row>38</xdr:row>
      <xdr:rowOff>269832</xdr:rowOff>
    </xdr:from>
    <xdr:ext cx="1071223" cy="914400"/>
    <xdr:pic>
      <xdr:nvPicPr>
        <xdr:cNvPr id="18" name="Graphic 17" descr="Back with solid fill">
          <a:extLst>
            <a:ext uri="{FF2B5EF4-FFF2-40B4-BE49-F238E27FC236}">
              <a16:creationId xmlns:a16="http://schemas.microsoft.com/office/drawing/2014/main" id="{172029E1-EC52-4770-8A69-1609FB7CF4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3846555" y="14709732"/>
          <a:ext cx="1071223" cy="914400"/>
        </a:xfrm>
        <a:prstGeom prst="rect">
          <a:avLst/>
        </a:prstGeom>
        <a:effectLst>
          <a:outerShdw blurRad="50800" dist="38100" dir="2700000" algn="tl" rotWithShape="0">
            <a:schemeClr val="bg1">
              <a:alpha val="40000"/>
            </a:schemeClr>
          </a:outerShdw>
        </a:effectLst>
      </xdr:spPr>
    </xdr:pic>
    <xdr:clientData/>
  </xdr:oneCellAnchor>
  <xdr:twoCellAnchor editAs="oneCell">
    <xdr:from>
      <xdr:col>9</xdr:col>
      <xdr:colOff>285748</xdr:colOff>
      <xdr:row>26</xdr:row>
      <xdr:rowOff>95250</xdr:rowOff>
    </xdr:from>
    <xdr:to>
      <xdr:col>12</xdr:col>
      <xdr:colOff>9524</xdr:colOff>
      <xdr:row>27</xdr:row>
      <xdr:rowOff>333375</xdr:rowOff>
    </xdr:to>
    <xdr:pic>
      <xdr:nvPicPr>
        <xdr:cNvPr id="20" name="Picture 19">
          <a:extLst>
            <a:ext uri="{FF2B5EF4-FFF2-40B4-BE49-F238E27FC236}">
              <a16:creationId xmlns:a16="http://schemas.microsoft.com/office/drawing/2014/main" id="{51913004-D8AC-4B8B-823B-582A82CF78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29423" y="11125200"/>
          <a:ext cx="1181101" cy="695325"/>
        </a:xfrm>
        <a:prstGeom prst="rect">
          <a:avLst/>
        </a:prstGeom>
      </xdr:spPr>
    </xdr:pic>
    <xdr:clientData/>
  </xdr:twoCellAnchor>
  <xdr:twoCellAnchor editAs="oneCell">
    <xdr:from>
      <xdr:col>0</xdr:col>
      <xdr:colOff>352424</xdr:colOff>
      <xdr:row>25</xdr:row>
      <xdr:rowOff>719820</xdr:rowOff>
    </xdr:from>
    <xdr:to>
      <xdr:col>1</xdr:col>
      <xdr:colOff>285750</xdr:colOff>
      <xdr:row>27</xdr:row>
      <xdr:rowOff>381861</xdr:rowOff>
    </xdr:to>
    <xdr:pic>
      <xdr:nvPicPr>
        <xdr:cNvPr id="21" name="Picture 20">
          <a:extLst>
            <a:ext uri="{FF2B5EF4-FFF2-40B4-BE49-F238E27FC236}">
              <a16:creationId xmlns:a16="http://schemas.microsoft.com/office/drawing/2014/main" id="{CF0F6320-9D40-48D8-B3CC-260E0CAAAF4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52424" y="11025870"/>
          <a:ext cx="1171576" cy="8431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631818</xdr:colOff>
      <xdr:row>8</xdr:row>
      <xdr:rowOff>207964</xdr:rowOff>
    </xdr:from>
    <xdr:to>
      <xdr:col>10</xdr:col>
      <xdr:colOff>43173</xdr:colOff>
      <xdr:row>13</xdr:row>
      <xdr:rowOff>378144</xdr:rowOff>
    </xdr:to>
    <xdr:graphicFrame macro="">
      <xdr:nvGraphicFramePr>
        <xdr:cNvPr id="3" name="Chart 2">
          <a:extLst>
            <a:ext uri="{FF2B5EF4-FFF2-40B4-BE49-F238E27FC236}">
              <a16:creationId xmlns:a16="http://schemas.microsoft.com/office/drawing/2014/main" id="{76859131-10FA-407C-A39F-58FE69872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122229</xdr:colOff>
      <xdr:row>8</xdr:row>
      <xdr:rowOff>207963</xdr:rowOff>
    </xdr:from>
    <xdr:to>
      <xdr:col>6</xdr:col>
      <xdr:colOff>498784</xdr:colOff>
      <xdr:row>13</xdr:row>
      <xdr:rowOff>378143</xdr:rowOff>
    </xdr:to>
    <xdr:graphicFrame macro="">
      <xdr:nvGraphicFramePr>
        <xdr:cNvPr id="4" name="Chart 3">
          <a:extLst>
            <a:ext uri="{FF2B5EF4-FFF2-40B4-BE49-F238E27FC236}">
              <a16:creationId xmlns:a16="http://schemas.microsoft.com/office/drawing/2014/main" id="{7E34FC80-6DAE-4FBE-BE38-0F7935AC7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180975</xdr:colOff>
      <xdr:row>1</xdr:row>
      <xdr:rowOff>57150</xdr:rowOff>
    </xdr:from>
    <xdr:to>
      <xdr:col>13</xdr:col>
      <xdr:colOff>38100</xdr:colOff>
      <xdr:row>8</xdr:row>
      <xdr:rowOff>123825</xdr:rowOff>
    </xdr:to>
    <xdr:graphicFrame macro="">
      <xdr:nvGraphicFramePr>
        <xdr:cNvPr id="2" name="Chart 1">
          <a:extLst>
            <a:ext uri="{FF2B5EF4-FFF2-40B4-BE49-F238E27FC236}">
              <a16:creationId xmlns:a16="http://schemas.microsoft.com/office/drawing/2014/main" id="{DC1D70FD-1049-4CF2-8165-470B4B1FA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165087</xdr:colOff>
      <xdr:row>8</xdr:row>
      <xdr:rowOff>207964</xdr:rowOff>
    </xdr:from>
    <xdr:to>
      <xdr:col>13</xdr:col>
      <xdr:colOff>109537</xdr:colOff>
      <xdr:row>13</xdr:row>
      <xdr:rowOff>378144</xdr:rowOff>
    </xdr:to>
    <xdr:graphicFrame macro="">
      <xdr:nvGraphicFramePr>
        <xdr:cNvPr id="5" name="Chart 4">
          <a:extLst>
            <a:ext uri="{FF2B5EF4-FFF2-40B4-BE49-F238E27FC236}">
              <a16:creationId xmlns:a16="http://schemas.microsoft.com/office/drawing/2014/main" id="{A60737BC-C357-4323-907D-5883AC916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23</xdr:row>
      <xdr:rowOff>76200</xdr:rowOff>
    </xdr:from>
    <xdr:to>
      <xdr:col>6</xdr:col>
      <xdr:colOff>19049</xdr:colOff>
      <xdr:row>40</xdr:row>
      <xdr:rowOff>133350</xdr:rowOff>
    </xdr:to>
    <xdr:graphicFrame macro="">
      <xdr:nvGraphicFramePr>
        <xdr:cNvPr id="5123" name="Chart 8">
          <a:extLst>
            <a:ext uri="{FF2B5EF4-FFF2-40B4-BE49-F238E27FC236}">
              <a16:creationId xmlns:a16="http://schemas.microsoft.com/office/drawing/2014/main" id="{00000000-0008-0000-0100-0000031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296334</xdr:colOff>
      <xdr:row>15</xdr:row>
      <xdr:rowOff>30693</xdr:rowOff>
    </xdr:from>
    <xdr:to>
      <xdr:col>15</xdr:col>
      <xdr:colOff>0</xdr:colOff>
      <xdr:row>41</xdr:row>
      <xdr:rowOff>0</xdr:rowOff>
    </xdr:to>
    <xdr:graphicFrame macro="">
      <xdr:nvGraphicFramePr>
        <xdr:cNvPr id="2" name="Chart 1">
          <a:extLst>
            <a:ext uri="{FF2B5EF4-FFF2-40B4-BE49-F238E27FC236}">
              <a16:creationId xmlns:a16="http://schemas.microsoft.com/office/drawing/2014/main" id="{55E59042-8935-2A62-3D72-38CC1A2AD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4152901</xdr:colOff>
      <xdr:row>12</xdr:row>
      <xdr:rowOff>209549</xdr:rowOff>
    </xdr:from>
    <xdr:to>
      <xdr:col>5</xdr:col>
      <xdr:colOff>1301750</xdr:colOff>
      <xdr:row>20</xdr:row>
      <xdr:rowOff>133349</xdr:rowOff>
    </xdr:to>
    <xdr:pic>
      <xdr:nvPicPr>
        <xdr:cNvPr id="2" name="Picture 1" descr="Icon&#10;&#10;Description automatically generated">
          <a:extLst>
            <a:ext uri="{FF2B5EF4-FFF2-40B4-BE49-F238E27FC236}">
              <a16:creationId xmlns:a16="http://schemas.microsoft.com/office/drawing/2014/main" id="{5AFA282D-E264-4CCE-BD0C-65EECA1BB958}"/>
            </a:ext>
          </a:extLst>
        </xdr:cNvPr>
        <xdr:cNvPicPr/>
      </xdr:nvPicPr>
      <xdr:blipFill>
        <a:blip xmlns:r="http://schemas.openxmlformats.org/officeDocument/2006/relationships" r:embed="rId1">
          <a:alphaModFix amt="20000"/>
          <a:extLst>
            <a:ext uri="{28A0092B-C50C-407E-A947-70E740481C1C}">
              <a14:useLocalDpi xmlns:a14="http://schemas.microsoft.com/office/drawing/2010/main" val="0"/>
            </a:ext>
          </a:extLst>
        </a:blip>
        <a:stretch>
          <a:fillRect/>
        </a:stretch>
      </xdr:blipFill>
      <xdr:spPr>
        <a:xfrm>
          <a:off x="5057776" y="6638924"/>
          <a:ext cx="2711449" cy="2714625"/>
        </a:xfrm>
        <a:prstGeom prst="rect">
          <a:avLst/>
        </a:prstGeom>
      </xdr:spPr>
    </xdr:pic>
    <xdr:clientData/>
  </xdr:twoCellAnchor>
  <xdr:twoCellAnchor editAs="oneCell">
    <xdr:from>
      <xdr:col>0</xdr:col>
      <xdr:colOff>1072243</xdr:colOff>
      <xdr:row>0</xdr:row>
      <xdr:rowOff>21772</xdr:rowOff>
    </xdr:from>
    <xdr:to>
      <xdr:col>2</xdr:col>
      <xdr:colOff>4293507</xdr:colOff>
      <xdr:row>0</xdr:row>
      <xdr:rowOff>2228850</xdr:rowOff>
    </xdr:to>
    <xdr:pic>
      <xdr:nvPicPr>
        <xdr:cNvPr id="3" name="Picture 2">
          <a:extLst>
            <a:ext uri="{FF2B5EF4-FFF2-40B4-BE49-F238E27FC236}">
              <a16:creationId xmlns:a16="http://schemas.microsoft.com/office/drawing/2014/main" id="{AED0EBF6-3CB4-4C3E-95B3-D2E3031B01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2243" y="21772"/>
          <a:ext cx="4861832" cy="2207078"/>
        </a:xfrm>
        <a:prstGeom prst="rect">
          <a:avLst/>
        </a:prstGeom>
      </xdr:spPr>
    </xdr:pic>
    <xdr:clientData/>
  </xdr:twoCellAnchor>
  <xdr:twoCellAnchor editAs="oneCell">
    <xdr:from>
      <xdr:col>5</xdr:col>
      <xdr:colOff>673554</xdr:colOff>
      <xdr:row>0</xdr:row>
      <xdr:rowOff>0</xdr:rowOff>
    </xdr:from>
    <xdr:to>
      <xdr:col>5</xdr:col>
      <xdr:colOff>5994710</xdr:colOff>
      <xdr:row>0</xdr:row>
      <xdr:rowOff>1866900</xdr:rowOff>
    </xdr:to>
    <xdr:pic>
      <xdr:nvPicPr>
        <xdr:cNvPr id="4" name="Picture 3">
          <a:extLst>
            <a:ext uri="{FF2B5EF4-FFF2-40B4-BE49-F238E27FC236}">
              <a16:creationId xmlns:a16="http://schemas.microsoft.com/office/drawing/2014/main" id="{9C7B4300-0B6A-4C45-4726-359D4AB40EA0}"/>
            </a:ext>
          </a:extLst>
        </xdr:cNvPr>
        <xdr:cNvPicPr>
          <a:picLocks noChangeAspect="1"/>
        </xdr:cNvPicPr>
      </xdr:nvPicPr>
      <xdr:blipFill rotWithShape="1">
        <a:blip xmlns:r="http://schemas.openxmlformats.org/officeDocument/2006/relationships" r:embed="rId3"/>
        <a:srcRect t="8411"/>
        <a:stretch/>
      </xdr:blipFill>
      <xdr:spPr>
        <a:xfrm>
          <a:off x="7141029" y="0"/>
          <a:ext cx="5321156" cy="1866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108036</xdr:colOff>
      <xdr:row>108</xdr:row>
      <xdr:rowOff>566107</xdr:rowOff>
    </xdr:from>
    <xdr:to>
      <xdr:col>9</xdr:col>
      <xdr:colOff>4774303</xdr:colOff>
      <xdr:row>133</xdr:row>
      <xdr:rowOff>44774</xdr:rowOff>
    </xdr:to>
    <xdr:pic>
      <xdr:nvPicPr>
        <xdr:cNvPr id="2" name="Picture 1">
          <a:extLst>
            <a:ext uri="{FF2B5EF4-FFF2-40B4-BE49-F238E27FC236}">
              <a16:creationId xmlns:a16="http://schemas.microsoft.com/office/drawing/2014/main" id="{193AF245-08BA-4D1E-0E56-12BEBCD82F05}"/>
            </a:ext>
          </a:extLst>
        </xdr:cNvPr>
        <xdr:cNvPicPr>
          <a:picLocks noChangeAspect="1"/>
        </xdr:cNvPicPr>
      </xdr:nvPicPr>
      <xdr:blipFill>
        <a:blip xmlns:r="http://schemas.openxmlformats.org/officeDocument/2006/relationships" r:embed="rId1"/>
        <a:stretch>
          <a:fillRect/>
        </a:stretch>
      </xdr:blipFill>
      <xdr:spPr>
        <a:xfrm>
          <a:off x="539357" y="26049975"/>
          <a:ext cx="6184875" cy="479828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ELLY JOHNSON" id="{102B978C-DD94-4342-85A6-6161D93B9A0C}" userId="4153b7832b3b5032" providerId="Windows Live"/>
</personList>
</file>

<file path=xl/theme/theme1.xml><?xml version="1.0" encoding="utf-8"?>
<a:theme xmlns:a="http://schemas.openxmlformats.org/drawingml/2006/main" name="Ninja">
  <a:themeElements>
    <a:clrScheme name="Ninja">
      <a:dk1>
        <a:sysClr val="windowText" lastClr="000000"/>
      </a:dk1>
      <a:lt1>
        <a:sysClr val="window" lastClr="FFFFFF"/>
      </a:lt1>
      <a:dk2>
        <a:srgbClr val="1F497D"/>
      </a:dk2>
      <a:lt2>
        <a:srgbClr val="EEECE1"/>
      </a:lt2>
      <a:accent1>
        <a:srgbClr val="EEEAE6"/>
      </a:accent1>
      <a:accent2>
        <a:srgbClr val="D7CFBB"/>
      </a:accent2>
      <a:accent3>
        <a:srgbClr val="977B58"/>
      </a:accent3>
      <a:accent4>
        <a:srgbClr val="636951"/>
      </a:accent4>
      <a:accent5>
        <a:srgbClr val="576F7C"/>
      </a:accent5>
      <a:accent6>
        <a:srgbClr val="363A36"/>
      </a:accent6>
      <a:hlink>
        <a:srgbClr val="0000FF"/>
      </a:hlink>
      <a:folHlink>
        <a:srgbClr val="800080"/>
      </a:folHlink>
    </a:clrScheme>
    <a:fontScheme name="Ninja">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 dT="2024-08-30T22:14:41.40" personId="{102B978C-DD94-4342-85A6-6161D93B9A0C}" id="{8003C72B-C3D6-4F0A-9F0A-93991F617613}">
    <text>Insert a 1 for the side you are representing or leave blank.</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675D2-F708-4636-B277-77DE6890C9E2}">
  <sheetPr>
    <tabColor theme="8" tint="0.39997558519241921"/>
  </sheetPr>
  <dimension ref="A1:S43"/>
  <sheetViews>
    <sheetView showGridLines="0" showRowColHeaders="0" zoomScale="125" workbookViewId="0">
      <selection activeCell="E30" sqref="E30:F30"/>
    </sheetView>
  </sheetViews>
  <sheetFormatPr baseColWidth="10" defaultColWidth="9.1640625" defaultRowHeight="16" x14ac:dyDescent="0.2"/>
  <cols>
    <col min="1" max="3" width="18.5" style="453" customWidth="1"/>
    <col min="4" max="6" width="14.1640625" style="453" customWidth="1"/>
    <col min="7" max="7" width="12.33203125" style="453" customWidth="1"/>
    <col min="8" max="8" width="4" style="453" customWidth="1"/>
    <col min="9" max="9" width="3" style="453" customWidth="1"/>
    <col min="10" max="10" width="4.1640625" style="453" customWidth="1"/>
    <col min="11" max="11" width="5.83203125" style="453" customWidth="1"/>
    <col min="12" max="12" width="11.6640625" style="453" customWidth="1"/>
    <col min="13" max="13" width="5.5" style="453" customWidth="1"/>
    <col min="14" max="14" width="12.5" style="453" customWidth="1"/>
    <col min="15" max="15" width="7.83203125" style="453" customWidth="1"/>
    <col min="16" max="16" width="9.1640625" style="453"/>
    <col min="17" max="17" width="35.83203125" style="453" customWidth="1"/>
    <col min="18" max="18" width="9.1640625" style="453"/>
    <col min="19" max="19" width="8.5" style="453" customWidth="1"/>
    <col min="20" max="16384" width="9.1640625" style="453"/>
  </cols>
  <sheetData>
    <row r="1" spans="1:16" x14ac:dyDescent="0.2">
      <c r="A1" s="730" t="s">
        <v>374</v>
      </c>
    </row>
    <row r="2" spans="1:16" ht="46" x14ac:dyDescent="0.2">
      <c r="A2" s="772" t="s">
        <v>185</v>
      </c>
      <c r="B2" s="772"/>
      <c r="C2" s="772"/>
      <c r="D2" s="772"/>
      <c r="E2" s="772"/>
      <c r="F2" s="772"/>
      <c r="G2" s="772"/>
      <c r="H2" s="772"/>
      <c r="I2" s="772"/>
      <c r="J2" s="772"/>
      <c r="K2" s="772"/>
      <c r="L2" s="772"/>
      <c r="M2" s="772"/>
      <c r="N2" s="772"/>
      <c r="O2" s="772"/>
    </row>
    <row r="3" spans="1:16" ht="39" customHeight="1" thickBot="1" x14ac:dyDescent="0.55000000000000004">
      <c r="B3" s="517"/>
      <c r="C3" s="773" t="s">
        <v>316</v>
      </c>
      <c r="D3" s="773"/>
      <c r="E3" s="773"/>
      <c r="F3" s="773"/>
      <c r="G3" s="773"/>
      <c r="H3" s="518"/>
      <c r="I3" s="519"/>
      <c r="J3" s="761" t="s">
        <v>299</v>
      </c>
      <c r="K3" s="761"/>
      <c r="L3" s="761"/>
      <c r="M3" s="761"/>
      <c r="N3" s="761"/>
      <c r="O3" s="761"/>
    </row>
    <row r="4" spans="1:16" ht="33" customHeight="1" thickTop="1" thickBot="1" x14ac:dyDescent="0.25">
      <c r="D4" s="520" t="s">
        <v>300</v>
      </c>
      <c r="J4" s="521"/>
      <c r="K4" s="521"/>
      <c r="L4" s="765">
        <v>200000</v>
      </c>
      <c r="M4" s="766"/>
      <c r="N4" s="767"/>
      <c r="O4" s="522"/>
    </row>
    <row r="5" spans="1:16" ht="15" customHeight="1" thickTop="1" x14ac:dyDescent="0.2">
      <c r="C5" s="774"/>
      <c r="D5" s="774"/>
      <c r="E5" s="774"/>
      <c r="F5" s="774"/>
      <c r="G5" s="774"/>
      <c r="H5" s="774"/>
      <c r="J5" s="523"/>
      <c r="K5" s="523"/>
      <c r="L5" s="523"/>
      <c r="M5" s="523"/>
      <c r="N5" s="523"/>
      <c r="O5" s="523"/>
    </row>
    <row r="6" spans="1:16" ht="17.25" customHeight="1" x14ac:dyDescent="0.2">
      <c r="C6" s="524"/>
      <c r="D6" s="524"/>
      <c r="E6" s="524"/>
      <c r="F6" s="524"/>
      <c r="G6" s="524"/>
      <c r="H6" s="524"/>
      <c r="J6" s="525"/>
      <c r="K6" s="525"/>
      <c r="L6" s="525"/>
      <c r="M6" s="525"/>
      <c r="N6" s="525"/>
      <c r="O6" s="525"/>
    </row>
    <row r="7" spans="1:16" x14ac:dyDescent="0.2">
      <c r="A7" s="526"/>
      <c r="B7" s="527"/>
      <c r="C7" s="527"/>
      <c r="D7" s="528"/>
      <c r="E7" s="527"/>
      <c r="F7" s="528"/>
      <c r="G7" s="528"/>
      <c r="H7" s="528"/>
      <c r="I7" s="528"/>
      <c r="J7" s="528"/>
      <c r="K7" s="528"/>
      <c r="L7" s="528"/>
      <c r="M7" s="528"/>
      <c r="N7" s="528"/>
      <c r="O7" s="528"/>
      <c r="P7" s="529"/>
    </row>
    <row r="8" spans="1:16" ht="36.75" customHeight="1" thickBot="1" x14ac:dyDescent="0.55000000000000004">
      <c r="A8" s="526"/>
      <c r="B8" s="530"/>
      <c r="C8" s="531" t="s">
        <v>318</v>
      </c>
      <c r="D8" s="528"/>
      <c r="E8" s="532"/>
      <c r="F8" s="532"/>
      <c r="G8" s="532"/>
      <c r="H8" s="528"/>
      <c r="I8" s="528"/>
      <c r="J8" s="761" t="s">
        <v>101</v>
      </c>
      <c r="K8" s="761"/>
      <c r="L8" s="761"/>
      <c r="M8" s="761"/>
      <c r="N8" s="761"/>
      <c r="O8" s="761"/>
      <c r="P8" s="529"/>
    </row>
    <row r="9" spans="1:16" ht="33.75" customHeight="1" thickTop="1" thickBot="1" x14ac:dyDescent="0.25">
      <c r="A9" s="526"/>
      <c r="B9" s="528"/>
      <c r="C9" s="763" t="s">
        <v>102</v>
      </c>
      <c r="D9" s="763"/>
      <c r="E9" s="763"/>
      <c r="F9" s="763"/>
      <c r="G9" s="533"/>
      <c r="H9" s="528"/>
      <c r="I9" s="528"/>
      <c r="J9" s="521"/>
      <c r="K9" s="521"/>
      <c r="L9" s="576"/>
      <c r="M9" s="523"/>
      <c r="N9" s="577"/>
      <c r="O9" s="522"/>
      <c r="P9" s="529"/>
    </row>
    <row r="10" spans="1:16" ht="35.25" customHeight="1" thickTop="1" x14ac:dyDescent="0.2">
      <c r="A10" s="526"/>
      <c r="B10" s="528"/>
      <c r="C10" s="528"/>
      <c r="D10" s="534" t="s">
        <v>103</v>
      </c>
      <c r="E10" s="528"/>
      <c r="F10" s="528"/>
      <c r="G10" s="528"/>
      <c r="H10" s="528"/>
      <c r="I10" s="528"/>
      <c r="J10" s="523"/>
      <c r="K10" s="523"/>
      <c r="L10" s="535" t="s">
        <v>363</v>
      </c>
      <c r="M10" s="523"/>
      <c r="N10" s="535" t="s">
        <v>104</v>
      </c>
      <c r="O10" s="523"/>
      <c r="P10" s="529"/>
    </row>
    <row r="11" spans="1:16" ht="18.75" customHeight="1" x14ac:dyDescent="0.2">
      <c r="A11" s="526"/>
      <c r="B11" s="528"/>
      <c r="C11" s="528"/>
      <c r="D11" s="534"/>
      <c r="E11" s="528"/>
      <c r="F11" s="528"/>
      <c r="G11" s="528"/>
      <c r="H11" s="528"/>
      <c r="I11" s="528"/>
      <c r="J11" s="536"/>
      <c r="K11" s="536"/>
      <c r="L11" s="537"/>
      <c r="M11" s="536"/>
      <c r="N11" s="536"/>
      <c r="O11" s="536"/>
      <c r="P11" s="529"/>
    </row>
    <row r="12" spans="1:16" ht="27" customHeight="1" thickBot="1" x14ac:dyDescent="0.25">
      <c r="A12" s="526"/>
      <c r="B12" s="528"/>
      <c r="C12" s="538" t="s">
        <v>301</v>
      </c>
      <c r="D12" s="538"/>
      <c r="E12" s="538"/>
      <c r="F12" s="538"/>
      <c r="G12" s="538"/>
      <c r="H12" s="528"/>
      <c r="I12" s="528"/>
      <c r="J12" s="761" t="s">
        <v>105</v>
      </c>
      <c r="K12" s="761"/>
      <c r="L12" s="761"/>
      <c r="M12" s="761"/>
      <c r="N12" s="761"/>
      <c r="O12" s="761"/>
      <c r="P12" s="529"/>
    </row>
    <row r="13" spans="1:16" ht="53.25" customHeight="1" thickTop="1" thickBot="1" x14ac:dyDescent="0.25">
      <c r="A13" s="526"/>
      <c r="B13" s="528"/>
      <c r="C13" s="764" t="s">
        <v>106</v>
      </c>
      <c r="D13" s="764"/>
      <c r="E13" s="764"/>
      <c r="F13" s="764"/>
      <c r="G13" s="533"/>
      <c r="H13" s="528"/>
      <c r="I13" s="528"/>
      <c r="J13" s="521"/>
      <c r="K13" s="521"/>
      <c r="L13" s="765"/>
      <c r="M13" s="766"/>
      <c r="N13" s="767"/>
      <c r="O13" s="522"/>
      <c r="P13" s="529"/>
    </row>
    <row r="14" spans="1:16" ht="17" thickTop="1" x14ac:dyDescent="0.2">
      <c r="A14" s="526"/>
      <c r="B14" s="528"/>
      <c r="C14" s="528"/>
      <c r="D14" s="534" t="s">
        <v>107</v>
      </c>
      <c r="E14" s="528"/>
      <c r="F14" s="528"/>
      <c r="G14" s="528"/>
      <c r="H14" s="528"/>
      <c r="I14" s="528"/>
      <c r="J14" s="523"/>
      <c r="K14" s="523"/>
      <c r="L14" s="539"/>
      <c r="M14" s="523"/>
      <c r="N14" s="523"/>
      <c r="O14" s="523"/>
      <c r="P14" s="529"/>
    </row>
    <row r="15" spans="1:16" ht="9.75" customHeight="1" x14ac:dyDescent="0.2">
      <c r="A15" s="526"/>
      <c r="B15" s="528"/>
      <c r="C15" s="528"/>
      <c r="D15" s="534"/>
      <c r="E15" s="528"/>
      <c r="F15" s="528"/>
      <c r="G15" s="528"/>
      <c r="H15" s="528"/>
      <c r="I15" s="528"/>
      <c r="J15" s="536"/>
      <c r="K15" s="536"/>
      <c r="L15" s="537"/>
      <c r="M15" s="536"/>
      <c r="N15" s="536"/>
      <c r="O15" s="536"/>
      <c r="P15" s="529"/>
    </row>
    <row r="17" spans="1:19" ht="31.5" customHeight="1" thickBot="1" x14ac:dyDescent="0.25">
      <c r="A17" s="526"/>
      <c r="B17" s="526"/>
      <c r="C17" s="540" t="s">
        <v>317</v>
      </c>
      <c r="D17" s="526"/>
      <c r="E17" s="541"/>
      <c r="F17" s="541"/>
      <c r="G17" s="541"/>
      <c r="H17" s="526"/>
      <c r="I17" s="526"/>
      <c r="J17" s="761" t="s">
        <v>108</v>
      </c>
      <c r="K17" s="761"/>
      <c r="L17" s="761"/>
      <c r="M17" s="761"/>
      <c r="N17" s="761"/>
      <c r="O17" s="761"/>
      <c r="P17" s="526"/>
    </row>
    <row r="18" spans="1:19" ht="28.5" customHeight="1" thickTop="1" thickBot="1" x14ac:dyDescent="0.25">
      <c r="A18" s="526"/>
      <c r="B18" s="526"/>
      <c r="C18" s="769" t="s">
        <v>102</v>
      </c>
      <c r="D18" s="769"/>
      <c r="E18" s="769"/>
      <c r="F18" s="769"/>
      <c r="G18" s="542"/>
      <c r="H18" s="526"/>
      <c r="I18" s="526"/>
      <c r="J18" s="521"/>
      <c r="K18" s="521"/>
      <c r="L18" s="576"/>
      <c r="M18" s="523"/>
      <c r="N18" s="578"/>
      <c r="O18" s="522"/>
      <c r="P18" s="526"/>
    </row>
    <row r="19" spans="1:19" ht="35" thickTop="1" x14ac:dyDescent="0.2">
      <c r="A19" s="526"/>
      <c r="B19" s="526"/>
      <c r="C19" s="526"/>
      <c r="D19" s="543" t="s">
        <v>109</v>
      </c>
      <c r="E19" s="526"/>
      <c r="F19" s="526"/>
      <c r="G19" s="526"/>
      <c r="H19" s="526"/>
      <c r="I19" s="526"/>
      <c r="J19" s="523"/>
      <c r="K19" s="523"/>
      <c r="L19" s="539" t="s">
        <v>362</v>
      </c>
      <c r="M19" s="523"/>
      <c r="N19" s="539" t="s">
        <v>110</v>
      </c>
      <c r="O19" s="523"/>
      <c r="P19" s="526"/>
    </row>
    <row r="20" spans="1:19" x14ac:dyDescent="0.2">
      <c r="A20" s="526"/>
      <c r="B20" s="526"/>
      <c r="C20" s="526"/>
      <c r="D20" s="543"/>
      <c r="E20" s="526"/>
      <c r="F20" s="526"/>
      <c r="G20" s="526"/>
      <c r="H20" s="526"/>
      <c r="I20" s="526"/>
      <c r="J20" s="525"/>
      <c r="K20" s="525"/>
      <c r="L20" s="544"/>
      <c r="M20" s="525"/>
      <c r="N20" s="525"/>
      <c r="O20" s="525"/>
      <c r="P20" s="526"/>
    </row>
    <row r="21" spans="1:19" ht="20" thickBot="1" x14ac:dyDescent="0.25">
      <c r="A21" s="526"/>
      <c r="B21" s="526"/>
      <c r="C21" s="545" t="s">
        <v>111</v>
      </c>
      <c r="D21" s="546"/>
      <c r="E21" s="546"/>
      <c r="F21" s="546"/>
      <c r="G21" s="546"/>
      <c r="H21" s="526"/>
      <c r="I21" s="526"/>
      <c r="J21" s="761" t="s">
        <v>112</v>
      </c>
      <c r="K21" s="761"/>
      <c r="L21" s="761"/>
      <c r="M21" s="761"/>
      <c r="N21" s="761"/>
      <c r="O21" s="761"/>
      <c r="P21" s="526"/>
    </row>
    <row r="22" spans="1:19" ht="46.5" customHeight="1" thickTop="1" thickBot="1" x14ac:dyDescent="0.25">
      <c r="A22" s="526"/>
      <c r="B22" s="526"/>
      <c r="C22" s="781" t="s">
        <v>113</v>
      </c>
      <c r="D22" s="781"/>
      <c r="E22" s="781"/>
      <c r="F22" s="781"/>
      <c r="G22" s="542"/>
      <c r="H22" s="526"/>
      <c r="I22" s="526"/>
      <c r="J22" s="521"/>
      <c r="K22" s="521"/>
      <c r="L22" s="765"/>
      <c r="M22" s="766"/>
      <c r="N22" s="767"/>
      <c r="O22" s="522"/>
      <c r="P22" s="526"/>
    </row>
    <row r="23" spans="1:19" ht="24.75" customHeight="1" thickTop="1" x14ac:dyDescent="0.2">
      <c r="A23" s="526"/>
      <c r="B23" s="526"/>
      <c r="C23" s="526"/>
      <c r="D23" s="543" t="s">
        <v>114</v>
      </c>
      <c r="E23" s="526"/>
      <c r="F23" s="526"/>
      <c r="G23" s="526"/>
      <c r="H23" s="526"/>
      <c r="I23" s="526"/>
      <c r="J23" s="523"/>
      <c r="K23" s="523"/>
      <c r="L23" s="539"/>
      <c r="M23" s="523"/>
      <c r="N23" s="523"/>
      <c r="O23" s="523"/>
      <c r="P23" s="526"/>
    </row>
    <row r="24" spans="1:19" x14ac:dyDescent="0.2">
      <c r="A24" s="526"/>
      <c r="B24" s="526"/>
      <c r="C24" s="526"/>
      <c r="D24" s="526"/>
      <c r="E24" s="526"/>
      <c r="F24" s="526"/>
      <c r="G24" s="526"/>
      <c r="H24" s="526"/>
      <c r="I24" s="526"/>
      <c r="J24" s="526"/>
      <c r="K24" s="526"/>
      <c r="L24" s="526"/>
      <c r="M24" s="526"/>
      <c r="N24" s="526"/>
      <c r="O24" s="526"/>
      <c r="P24" s="526"/>
    </row>
    <row r="25" spans="1:19" ht="8.25" customHeight="1" x14ac:dyDescent="0.2"/>
    <row r="26" spans="1:19" ht="57" customHeight="1" x14ac:dyDescent="0.2">
      <c r="A26" s="782" t="s">
        <v>344</v>
      </c>
      <c r="B26" s="782"/>
      <c r="C26" s="782"/>
      <c r="D26" s="782"/>
      <c r="E26" s="782"/>
      <c r="F26" s="782"/>
      <c r="G26" s="782"/>
      <c r="H26" s="782"/>
      <c r="I26" s="782"/>
      <c r="J26" s="782"/>
      <c r="K26" s="782"/>
      <c r="L26" s="782"/>
      <c r="M26" s="782"/>
      <c r="N26" s="782"/>
      <c r="O26" s="782"/>
      <c r="P26" s="782"/>
      <c r="Q26" s="782"/>
      <c r="R26" s="782"/>
      <c r="S26" s="782"/>
    </row>
    <row r="27" spans="1:19" ht="36" customHeight="1" x14ac:dyDescent="0.2">
      <c r="A27" s="783" t="s">
        <v>302</v>
      </c>
      <c r="B27" s="783"/>
      <c r="C27" s="783"/>
      <c r="D27" s="783"/>
      <c r="E27" s="783"/>
      <c r="F27" s="783"/>
      <c r="G27" s="783"/>
      <c r="H27" s="783"/>
      <c r="I27" s="547"/>
      <c r="J27" s="548"/>
      <c r="K27" s="784" t="s">
        <v>115</v>
      </c>
      <c r="L27" s="784"/>
      <c r="M27" s="784"/>
      <c r="N27" s="784"/>
      <c r="O27" s="784"/>
      <c r="P27" s="784"/>
      <c r="Q27" s="784"/>
      <c r="R27" s="784"/>
      <c r="S27" s="784"/>
    </row>
    <row r="28" spans="1:19" ht="33.75" customHeight="1" x14ac:dyDescent="0.2">
      <c r="A28" s="785"/>
      <c r="B28" s="785"/>
      <c r="C28" s="785"/>
      <c r="D28" s="785"/>
      <c r="E28" s="785"/>
      <c r="F28" s="785"/>
      <c r="G28" s="785"/>
      <c r="H28" s="785"/>
      <c r="I28" s="547"/>
      <c r="J28" s="549"/>
      <c r="K28" s="550"/>
      <c r="L28" s="786" t="s">
        <v>116</v>
      </c>
      <c r="M28" s="786"/>
      <c r="N28" s="786"/>
      <c r="O28" s="786"/>
      <c r="P28" s="786"/>
      <c r="Q28" s="786"/>
      <c r="R28" s="786"/>
      <c r="S28" s="550"/>
    </row>
    <row r="29" spans="1:19" ht="17" thickBot="1" x14ac:dyDescent="0.25">
      <c r="A29" s="551"/>
      <c r="B29" s="552" t="s">
        <v>117</v>
      </c>
      <c r="C29" s="553"/>
      <c r="D29" s="777" t="s">
        <v>118</v>
      </c>
      <c r="E29" s="777"/>
      <c r="F29" s="777"/>
      <c r="G29" s="777"/>
      <c r="H29" s="554"/>
      <c r="I29" s="547"/>
      <c r="J29" s="526"/>
      <c r="K29" s="555"/>
      <c r="L29" s="786"/>
      <c r="M29" s="786"/>
      <c r="N29" s="786"/>
      <c r="O29" s="786"/>
      <c r="P29" s="786"/>
      <c r="Q29" s="786"/>
      <c r="R29" s="786"/>
      <c r="S29" s="556"/>
    </row>
    <row r="30" spans="1:19" ht="28" customHeight="1" thickTop="1" thickBot="1" x14ac:dyDescent="0.25">
      <c r="A30" s="775" t="s">
        <v>303</v>
      </c>
      <c r="B30" s="775"/>
      <c r="C30" s="775"/>
      <c r="D30" s="521"/>
      <c r="E30" s="787">
        <v>8000</v>
      </c>
      <c r="F30" s="788"/>
      <c r="G30" s="558"/>
      <c r="H30" s="547"/>
      <c r="I30" s="547"/>
      <c r="J30" s="526"/>
      <c r="K30" s="770" t="s">
        <v>119</v>
      </c>
      <c r="L30" s="771"/>
      <c r="M30" s="771"/>
      <c r="N30" s="789" t="s">
        <v>120</v>
      </c>
      <c r="O30" s="789"/>
      <c r="P30" s="789"/>
      <c r="Q30" s="789"/>
      <c r="R30" s="789"/>
      <c r="S30" s="789"/>
    </row>
    <row r="31" spans="1:19" ht="22.5" customHeight="1" thickTop="1" thickBot="1" x14ac:dyDescent="0.25">
      <c r="A31" s="775"/>
      <c r="B31" s="775"/>
      <c r="C31" s="775"/>
      <c r="D31" s="559"/>
      <c r="E31" s="559"/>
      <c r="F31" s="560"/>
      <c r="G31" s="558"/>
      <c r="H31" s="547"/>
      <c r="I31" s="561"/>
      <c r="J31" s="525"/>
      <c r="K31" s="771"/>
      <c r="L31" s="771"/>
      <c r="M31" s="771"/>
      <c r="N31" s="789"/>
      <c r="O31" s="789"/>
      <c r="P31" s="789"/>
      <c r="Q31" s="789"/>
      <c r="R31" s="789"/>
      <c r="S31" s="789"/>
    </row>
    <row r="32" spans="1:19" ht="24.75" customHeight="1" thickTop="1" thickBot="1" x14ac:dyDescent="0.25">
      <c r="A32" s="775"/>
      <c r="B32" s="775"/>
      <c r="C32" s="775"/>
      <c r="D32" s="562"/>
      <c r="E32" s="562"/>
      <c r="F32" s="562"/>
      <c r="G32" s="562"/>
      <c r="H32" s="562"/>
      <c r="I32" s="562"/>
      <c r="K32" s="608"/>
      <c r="L32" s="579"/>
      <c r="M32" s="609"/>
      <c r="N32" s="768">
        <v>0</v>
      </c>
      <c r="O32" s="768"/>
      <c r="P32" s="615" t="s">
        <v>18</v>
      </c>
      <c r="Q32" s="779"/>
      <c r="R32" s="780"/>
      <c r="S32" s="609"/>
    </row>
    <row r="33" spans="1:19" ht="18" thickTop="1" thickBot="1" x14ac:dyDescent="0.25">
      <c r="A33" s="762" t="s">
        <v>121</v>
      </c>
      <c r="B33" s="762"/>
      <c r="C33" s="762"/>
      <c r="D33" s="563"/>
      <c r="E33" s="562"/>
      <c r="F33" s="562"/>
      <c r="G33" s="562"/>
      <c r="H33" s="564"/>
      <c r="I33" s="547"/>
      <c r="J33" s="549"/>
      <c r="K33" s="608"/>
      <c r="L33" s="608"/>
      <c r="M33" s="609"/>
      <c r="N33" s="608"/>
      <c r="O33" s="608"/>
      <c r="P33" s="616"/>
      <c r="Q33" s="608"/>
      <c r="R33" s="610"/>
      <c r="S33" s="609"/>
    </row>
    <row r="34" spans="1:19" ht="24.75" customHeight="1" thickTop="1" thickBot="1" x14ac:dyDescent="0.25">
      <c r="A34" s="762"/>
      <c r="B34" s="762"/>
      <c r="C34" s="762"/>
      <c r="D34" s="563"/>
      <c r="E34" s="777" t="s">
        <v>122</v>
      </c>
      <c r="F34" s="777"/>
      <c r="G34" s="777"/>
      <c r="H34" s="562"/>
      <c r="I34" s="562"/>
      <c r="K34" s="610"/>
      <c r="L34" s="579"/>
      <c r="M34" s="609"/>
      <c r="N34" s="768">
        <f>Q32+1</f>
        <v>1</v>
      </c>
      <c r="O34" s="768"/>
      <c r="P34" s="615" t="s">
        <v>18</v>
      </c>
      <c r="Q34" s="779"/>
      <c r="R34" s="780"/>
      <c r="S34" s="611"/>
    </row>
    <row r="35" spans="1:19" ht="28" customHeight="1" thickTop="1" thickBot="1" x14ac:dyDescent="0.25">
      <c r="A35" s="433"/>
      <c r="B35" s="552" t="s">
        <v>319</v>
      </c>
      <c r="C35" s="433"/>
      <c r="D35" s="563"/>
      <c r="E35" s="521"/>
      <c r="F35" s="579">
        <v>0.68</v>
      </c>
      <c r="G35" s="521"/>
      <c r="H35" s="562"/>
      <c r="I35" s="562"/>
      <c r="K35" s="778" t="s">
        <v>123</v>
      </c>
      <c r="L35" s="778"/>
      <c r="M35" s="609"/>
      <c r="N35" s="610"/>
      <c r="O35" s="610"/>
      <c r="P35" s="617"/>
      <c r="Q35" s="612" t="s">
        <v>124</v>
      </c>
      <c r="R35" s="610"/>
      <c r="S35" s="609"/>
    </row>
    <row r="36" spans="1:19" ht="30" customHeight="1" thickTop="1" thickBot="1" x14ac:dyDescent="0.25">
      <c r="A36" s="775" t="s">
        <v>304</v>
      </c>
      <c r="B36" s="775"/>
      <c r="C36" s="775"/>
      <c r="D36" s="563"/>
      <c r="E36" s="565"/>
      <c r="F36" s="566" t="s">
        <v>125</v>
      </c>
      <c r="G36" s="558"/>
      <c r="H36" s="562"/>
      <c r="I36" s="562"/>
      <c r="K36" s="610"/>
      <c r="L36" s="579"/>
      <c r="M36" s="609"/>
      <c r="N36" s="768">
        <f>Q34+1</f>
        <v>1</v>
      </c>
      <c r="O36" s="768"/>
      <c r="P36" s="615" t="s">
        <v>18</v>
      </c>
      <c r="Q36" s="779"/>
      <c r="R36" s="780"/>
      <c r="S36" s="611"/>
    </row>
    <row r="37" spans="1:19" ht="18" thickTop="1" thickBot="1" x14ac:dyDescent="0.25">
      <c r="A37" s="557"/>
      <c r="B37" s="557"/>
      <c r="C37" s="557"/>
      <c r="D37" s="563"/>
      <c r="E37" s="562"/>
      <c r="F37" s="562"/>
      <c r="G37" s="562"/>
      <c r="H37" s="562"/>
      <c r="I37" s="562"/>
      <c r="K37" s="778" t="s">
        <v>123</v>
      </c>
      <c r="L37" s="778"/>
      <c r="M37" s="609"/>
      <c r="N37" s="610"/>
      <c r="O37" s="610"/>
      <c r="P37" s="617"/>
      <c r="Q37" s="612" t="s">
        <v>124</v>
      </c>
      <c r="R37" s="610"/>
      <c r="S37" s="609"/>
    </row>
    <row r="38" spans="1:19" ht="24.75" customHeight="1" thickTop="1" thickBot="1" x14ac:dyDescent="0.25">
      <c r="A38" s="762" t="s">
        <v>126</v>
      </c>
      <c r="B38" s="762"/>
      <c r="C38" s="762"/>
      <c r="D38" s="563"/>
      <c r="E38" s="563"/>
      <c r="F38" s="563"/>
      <c r="G38" s="563"/>
      <c r="H38" s="562"/>
      <c r="I38" s="562"/>
      <c r="K38" s="610"/>
      <c r="L38" s="579"/>
      <c r="M38" s="609"/>
      <c r="N38" s="768">
        <f>Q36+1</f>
        <v>1</v>
      </c>
      <c r="O38" s="768"/>
      <c r="P38" s="615" t="s">
        <v>18</v>
      </c>
      <c r="Q38" s="779"/>
      <c r="R38" s="780"/>
      <c r="S38" s="611"/>
    </row>
    <row r="39" spans="1:19" ht="17.25" customHeight="1" thickTop="1" thickBot="1" x14ac:dyDescent="0.25">
      <c r="A39" s="762"/>
      <c r="B39" s="762"/>
      <c r="C39" s="762"/>
      <c r="D39" s="563"/>
      <c r="E39" s="777" t="s">
        <v>127</v>
      </c>
      <c r="F39" s="777"/>
      <c r="G39" s="777"/>
      <c r="H39" s="562"/>
      <c r="I39" s="563"/>
      <c r="K39" s="776" t="s">
        <v>361</v>
      </c>
      <c r="L39" s="776"/>
      <c r="M39" s="776"/>
      <c r="N39" s="610"/>
      <c r="O39" s="610"/>
      <c r="P39" s="617"/>
      <c r="Q39" s="612" t="s">
        <v>124</v>
      </c>
      <c r="R39" s="610"/>
      <c r="S39" s="609"/>
    </row>
    <row r="40" spans="1:19" ht="24.75" customHeight="1" thickTop="1" thickBot="1" x14ac:dyDescent="0.25">
      <c r="A40" s="567"/>
      <c r="B40" s="552" t="s">
        <v>319</v>
      </c>
      <c r="C40" s="433"/>
      <c r="D40" s="563"/>
      <c r="E40" s="521"/>
      <c r="F40" s="580">
        <v>0.85</v>
      </c>
      <c r="G40" s="521"/>
      <c r="H40" s="563"/>
      <c r="I40" s="562"/>
      <c r="K40" s="610"/>
      <c r="L40" s="579"/>
      <c r="M40" s="609"/>
      <c r="N40" s="768">
        <f>Q38+1</f>
        <v>1</v>
      </c>
      <c r="O40" s="768"/>
      <c r="P40" s="615" t="s">
        <v>18</v>
      </c>
      <c r="Q40" s="779"/>
      <c r="R40" s="780"/>
      <c r="S40" s="611"/>
    </row>
    <row r="41" spans="1:19" ht="30.75" customHeight="1" thickTop="1" thickBot="1" x14ac:dyDescent="0.25">
      <c r="A41" s="775" t="s">
        <v>305</v>
      </c>
      <c r="B41" s="775"/>
      <c r="C41" s="775"/>
      <c r="D41" s="563"/>
      <c r="E41" s="565"/>
      <c r="F41" s="566"/>
      <c r="G41" s="558"/>
      <c r="H41" s="562"/>
      <c r="I41" s="562"/>
      <c r="K41" s="776" t="s">
        <v>361</v>
      </c>
      <c r="L41" s="776"/>
      <c r="M41" s="776"/>
      <c r="N41" s="610"/>
      <c r="O41" s="610"/>
      <c r="P41" s="617"/>
      <c r="Q41" s="612" t="s">
        <v>124</v>
      </c>
      <c r="R41" s="610"/>
      <c r="S41" s="609"/>
    </row>
    <row r="42" spans="1:19" ht="24.75" customHeight="1" thickTop="1" thickBot="1" x14ac:dyDescent="0.25">
      <c r="A42" s="562"/>
      <c r="B42" s="562"/>
      <c r="C42" s="562"/>
      <c r="D42" s="562"/>
      <c r="E42" s="775" t="s">
        <v>128</v>
      </c>
      <c r="F42" s="775"/>
      <c r="G42" s="775"/>
      <c r="H42" s="562"/>
      <c r="I42" s="562"/>
      <c r="K42" s="613"/>
      <c r="L42" s="579"/>
      <c r="M42" s="609"/>
      <c r="N42" s="768">
        <f>Q40+1</f>
        <v>1</v>
      </c>
      <c r="O42" s="768"/>
      <c r="P42" s="615" t="s">
        <v>129</v>
      </c>
      <c r="Q42" s="614"/>
      <c r="R42" s="610"/>
      <c r="S42" s="609"/>
    </row>
    <row r="43" spans="1:19" ht="27.75" customHeight="1" thickTop="1" x14ac:dyDescent="0.2">
      <c r="A43" s="562"/>
      <c r="B43" s="562"/>
      <c r="C43" s="562"/>
      <c r="D43" s="562"/>
      <c r="E43" s="775"/>
      <c r="F43" s="775"/>
      <c r="G43" s="775"/>
      <c r="H43" s="562"/>
      <c r="I43" s="562"/>
      <c r="K43" s="776" t="s">
        <v>361</v>
      </c>
      <c r="L43" s="776"/>
      <c r="M43" s="776"/>
      <c r="N43" s="610"/>
      <c r="O43" s="610"/>
      <c r="P43" s="610"/>
      <c r="Q43" s="790" t="s">
        <v>355</v>
      </c>
      <c r="R43" s="790"/>
      <c r="S43" s="790"/>
    </row>
  </sheetData>
  <sheetProtection sheet="1" selectLockedCells="1"/>
  <mergeCells count="49">
    <mergeCell ref="Q36:R36"/>
    <mergeCell ref="K39:M39"/>
    <mergeCell ref="K41:M41"/>
    <mergeCell ref="E42:G43"/>
    <mergeCell ref="N38:O38"/>
    <mergeCell ref="Q38:R38"/>
    <mergeCell ref="E39:G39"/>
    <mergeCell ref="Q43:S43"/>
    <mergeCell ref="N40:O40"/>
    <mergeCell ref="Q40:R40"/>
    <mergeCell ref="Q34:R34"/>
    <mergeCell ref="J21:O21"/>
    <mergeCell ref="C22:F22"/>
    <mergeCell ref="L22:N22"/>
    <mergeCell ref="A26:S26"/>
    <mergeCell ref="A27:H27"/>
    <mergeCell ref="K27:S27"/>
    <mergeCell ref="A28:H28"/>
    <mergeCell ref="L28:R29"/>
    <mergeCell ref="D29:G29"/>
    <mergeCell ref="A30:C32"/>
    <mergeCell ref="E30:F30"/>
    <mergeCell ref="N30:S31"/>
    <mergeCell ref="Q32:R32"/>
    <mergeCell ref="A36:C36"/>
    <mergeCell ref="A38:C39"/>
    <mergeCell ref="K43:M43"/>
    <mergeCell ref="E34:G34"/>
    <mergeCell ref="N34:O34"/>
    <mergeCell ref="A41:C41"/>
    <mergeCell ref="N42:O42"/>
    <mergeCell ref="K35:L35"/>
    <mergeCell ref="K37:L37"/>
    <mergeCell ref="N36:O36"/>
    <mergeCell ref="A2:O2"/>
    <mergeCell ref="C3:G3"/>
    <mergeCell ref="J3:O3"/>
    <mergeCell ref="L4:N4"/>
    <mergeCell ref="C5:H5"/>
    <mergeCell ref="J17:O17"/>
    <mergeCell ref="A33:C34"/>
    <mergeCell ref="J8:O8"/>
    <mergeCell ref="C9:F9"/>
    <mergeCell ref="J12:O12"/>
    <mergeCell ref="C13:F13"/>
    <mergeCell ref="L13:N13"/>
    <mergeCell ref="N32:O32"/>
    <mergeCell ref="C18:F18"/>
    <mergeCell ref="K30:M31"/>
  </mergeCells>
  <conditionalFormatting sqref="F35">
    <cfRule type="expression" dxfId="34" priority="8">
      <formula>AND($E$29&gt;0,OR(ISBLANK($F$34),$F$34=0))</formula>
    </cfRule>
  </conditionalFormatting>
  <conditionalFormatting sqref="F36">
    <cfRule type="expression" dxfId="33" priority="7">
      <formula>AND($E$29&gt;0,OR(ISBLANK($F$34),$F$34=0))</formula>
    </cfRule>
  </conditionalFormatting>
  <conditionalFormatting sqref="K39">
    <cfRule type="expression" dxfId="32" priority="22">
      <formula>AND($Q$35&gt;0,OR(ISBLANK($L$37),$L$37=0))</formula>
    </cfRule>
  </conditionalFormatting>
  <conditionalFormatting sqref="K41">
    <cfRule type="expression" dxfId="31" priority="21">
      <formula>AND($Q$37&gt;0,OR(ISBLANK($L$39),$L$39=0))</formula>
    </cfRule>
  </conditionalFormatting>
  <conditionalFormatting sqref="K43">
    <cfRule type="expression" dxfId="30" priority="20">
      <formula>AND($Q$39&gt;0,OR(ISBLANK($L$41),$L$41=0))</formula>
    </cfRule>
  </conditionalFormatting>
  <conditionalFormatting sqref="K35:L35">
    <cfRule type="expression" dxfId="29" priority="28">
      <formula>AND($Q$31&gt;0,OR(ISBLANK($L$33),$L$33=0))</formula>
    </cfRule>
  </conditionalFormatting>
  <conditionalFormatting sqref="K37:L37">
    <cfRule type="expression" dxfId="28" priority="23">
      <formula>AND($Q$33&gt;0,OR(ISBLANK($L$35),$L$35=0))</formula>
    </cfRule>
  </conditionalFormatting>
  <conditionalFormatting sqref="L32">
    <cfRule type="expression" dxfId="27" priority="6">
      <formula>AND($E$29&gt;0,OR(ISBLANK($F$34),$F$34=0))</formula>
    </cfRule>
  </conditionalFormatting>
  <conditionalFormatting sqref="L34">
    <cfRule type="expression" dxfId="26" priority="5">
      <formula>AND($E$29&gt;0,OR(ISBLANK($F$34),$F$34=0))</formula>
    </cfRule>
  </conditionalFormatting>
  <conditionalFormatting sqref="L36">
    <cfRule type="expression" dxfId="25" priority="4">
      <formula>AND($E$29&gt;0,OR(ISBLANK($F$34),$F$34=0))</formula>
    </cfRule>
  </conditionalFormatting>
  <conditionalFormatting sqref="L38">
    <cfRule type="expression" dxfId="24" priority="3">
      <formula>AND($E$29&gt;0,OR(ISBLANK($F$34),$F$34=0))</formula>
    </cfRule>
  </conditionalFormatting>
  <conditionalFormatting sqref="L40">
    <cfRule type="expression" dxfId="23" priority="2">
      <formula>AND($E$29&gt;0,OR(ISBLANK($F$34),$F$34=0))</formula>
    </cfRule>
  </conditionalFormatting>
  <conditionalFormatting sqref="L42">
    <cfRule type="expression" dxfId="22" priority="1">
      <formula>AND($E$29&gt;0,OR(ISBLANK($F$34),$F$34=0))</formula>
    </cfRule>
  </conditionalFormatting>
  <conditionalFormatting sqref="L4:N4">
    <cfRule type="expression" dxfId="21" priority="31">
      <formula>$L$4&lt;=0</formula>
    </cfRule>
  </conditionalFormatting>
  <conditionalFormatting sqref="Q35">
    <cfRule type="expression" dxfId="20" priority="26">
      <formula>AND(ISBLANK($L$35),$L$33&gt;0)</formula>
    </cfRule>
  </conditionalFormatting>
  <conditionalFormatting sqref="Q37">
    <cfRule type="expression" dxfId="19" priority="27">
      <formula>AND(ISBLANK($L$37),$L$35&gt;0)</formula>
    </cfRule>
  </conditionalFormatting>
  <conditionalFormatting sqref="Q39">
    <cfRule type="expression" dxfId="18" priority="25">
      <formula>AND(ISBLANK($L$39),$L$37&gt;0)</formula>
    </cfRule>
  </conditionalFormatting>
  <conditionalFormatting sqref="Q41">
    <cfRule type="expression" dxfId="17" priority="12">
      <formula>AND(ISBLANK($L$41),$L$39&gt;0)</formula>
    </cfRule>
  </conditionalFormatting>
  <conditionalFormatting sqref="Q34:R34">
    <cfRule type="expression" dxfId="16" priority="16">
      <formula>AND($L$35&gt;0,OR(ISBLANK($Q$33),$Q$33=0))</formula>
    </cfRule>
  </conditionalFormatting>
  <conditionalFormatting sqref="Q36:R36">
    <cfRule type="expression" dxfId="15" priority="15">
      <formula>AND($L$37&gt;0,OR(ISBLANK($Q$35),$Q$35=0))</formula>
    </cfRule>
  </conditionalFormatting>
  <conditionalFormatting sqref="Q38:R38">
    <cfRule type="expression" dxfId="14" priority="14">
      <formula>AND($L$39&gt;0,OR(ISBLANK($Q$37),$Q$37=0))</formula>
    </cfRule>
  </conditionalFormatting>
  <conditionalFormatting sqref="Q40:R40">
    <cfRule type="expression" dxfId="13" priority="13">
      <formula>AND($L$41&gt;0,OR(ISBLANK($Q$39),$Q$39=0))</formula>
    </cfRule>
  </conditionalFormatting>
  <dataValidations count="13">
    <dataValidation type="whole" operator="greaterThan" allowBlank="1" showInputMessage="1" showErrorMessage="1" error="Please enter in annual commission goal." prompt="Enter Your Annual Commission Goal._x000a__x000a_A number must be entered to allow graphs to show correctly." sqref="L4 E41 E36" xr:uid="{FD7337FD-6D14-48F5-83FF-24BBCDE5B3F3}">
      <formula1>0</formula1>
    </dataValidation>
    <dataValidation type="whole" operator="greaterThanOrEqual" allowBlank="1" showInputMessage="1" showErrorMessage="1" sqref="L13:N13 L22:N22" xr:uid="{5AB74441-F43C-4CEC-904F-48CB0AD1E716}">
      <formula1>0</formula1>
    </dataValidation>
    <dataValidation type="custom" operator="greaterThanOrEqual" allowBlank="1" showInputMessage="1" showErrorMessage="1" error="There has been a mistake._x000a__x000a_You may only enter _x000a_a flat fee OR a percentage, _x000a_not both." prompt="Enter a $ amount _x000a_only if you pay a _x000a_FLAT FRANCHISE FEE _x000a_on each transaction._x000a_" sqref="L9" xr:uid="{2763CBAE-2832-41B4-BCC7-19A3AD86C2BC}">
      <formula1>N9&lt;0</formula1>
    </dataValidation>
    <dataValidation type="custom" operator="greaterThanOrEqual" allowBlank="1" showInputMessage="1" showErrorMessage="1" error="There has been a mistake._x000a__x000a_You may only enter _x000a_a flat fee OR a percentage, _x000a_not both." prompt="Enter a % _x000a_only if you pay _x000a_franchise fee_x000a_equal a % of the _x000a_commission _x000a_for each transaction._x000a__x000a_" sqref="N9" xr:uid="{F3492010-DC6D-42FA-B323-699B7E9538E1}">
      <formula1>L9&lt;0</formula1>
    </dataValidation>
    <dataValidation type="whole" errorStyle="information" operator="greaterThanOrEqual" allowBlank="1" showInputMessage="1" showErrorMessage="1" error="Be sure if you have entered a number here, there is not a % entered in the cell to the right." prompt="Enter a $ amount _x000a_only if you pay a _x000a_FLAT MARKETING FEE _x000a_on each transaction._x000a_" sqref="L18" xr:uid="{F3C324EB-F662-4D2C-A76B-C760F3FB6C7A}">
      <formula1>0</formula1>
    </dataValidation>
    <dataValidation type="decimal" errorStyle="information" operator="greaterThanOrEqual" allowBlank="1" showInputMessage="1" showErrorMessage="1" error="Be sure if you have entered a % here, there is not a flat fee entered in the cell to the left." prompt="Enter a % _x000a_only if you pay a _x000a_marketing fee _x000a_equal to a % of _x000a_the commission _x000a_for each transaction._x000a_" sqref="N18" xr:uid="{D5C6A93D-F1AA-478C-BECF-9909E7CF721A}">
      <formula1>0</formula1>
    </dataValidation>
    <dataValidation type="whole" errorStyle="warning" operator="greaterThan" allowBlank="1" showInputMessage="1" showErrorMessage="1" error="Is this correct?" sqref="E30:F30" xr:uid="{449B5F81-D9E6-4562-B8D2-A1BA3F59E1C8}">
      <formula1>0</formula1>
    </dataValidation>
    <dataValidation type="decimal" operator="lessThanOrEqual" showInputMessage="1" showErrorMessage="1" error="Must be less than 100%." sqref="F35" xr:uid="{A0F65A6A-05A2-48DD-BAAE-80545261FF02}">
      <formula1>1</formula1>
    </dataValidation>
    <dataValidation type="whole" errorStyle="information" operator="greaterThan" allowBlank="1" showInputMessage="1" showErrorMessage="1" error="Be sure to enter a commission split % if you have entered a number here." sqref="N34" xr:uid="{493D4E36-26F7-45F4-8FBE-0C1353ED70B7}">
      <formula1>Q32</formula1>
    </dataValidation>
    <dataValidation type="whole" errorStyle="information" operator="greaterThan" allowBlank="1" showInputMessage="1" showErrorMessage="1" error="Be sure to enter a commission split % if you have entered a number here." sqref="O34" xr:uid="{E42C1A1B-07C2-4C28-B84A-AF8B45AE487D}">
      <formula1>K32</formula1>
    </dataValidation>
    <dataValidation type="whole" errorStyle="warning" operator="greaterThan" allowBlank="1" showInputMessage="1" showErrorMessage="1" error="Value is not large enough." sqref="Q40:R40" xr:uid="{8D599FE9-1BCE-43E7-9BEF-BB8F81B4A950}">
      <formula1>N40</formula1>
    </dataValidation>
    <dataValidation type="whole" operator="greaterThanOrEqual" allowBlank="1" showInputMessage="1" showErrorMessage="1" error="Must be a value greater than 0." sqref="Q32:R32" xr:uid="{482F19B2-DE76-4CFC-82E1-0DD3DAC14801}">
      <formula1>0</formula1>
    </dataValidation>
    <dataValidation type="whole" operator="greaterThan" allowBlank="1" showInputMessage="1" showErrorMessage="1" error="Value is not large enough." sqref="Q34:R34 Q38:R38 Q36:R36" xr:uid="{8700E33B-940A-4890-9086-F51647C5020B}">
      <formula1>N34</formula1>
    </dataValidation>
  </dataValidations>
  <pageMargins left="0.7" right="0.7" top="0.75" bottom="0.75" header="0.3" footer="0.3"/>
  <pageSetup scale="95" orientation="portrait" horizontalDpi="360" verticalDpi="360" r:id="rId1"/>
  <rowBreaks count="1" manualBreakCount="1">
    <brk id="24" max="16383" man="1"/>
  </rowBreaks>
  <colBreaks count="1" manualBreakCount="1">
    <brk id="15" min="1" max="42"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1F0E-CA56-41F2-AB08-1385544142B3}">
  <sheetPr>
    <tabColor theme="8" tint="0.39997558519241921"/>
  </sheetPr>
  <dimension ref="A1:AG87"/>
  <sheetViews>
    <sheetView showGridLines="0" showRowColHeaders="0" zoomScaleNormal="92" workbookViewId="0">
      <selection activeCell="R34" sqref="R34"/>
    </sheetView>
  </sheetViews>
  <sheetFormatPr baseColWidth="10" defaultColWidth="9.33203125" defaultRowHeight="15" x14ac:dyDescent="0.2"/>
  <cols>
    <col min="1" max="1" width="4.83203125" style="159" customWidth="1"/>
    <col min="2" max="2" width="6.5" style="159" customWidth="1"/>
    <col min="3" max="3" width="26.6640625" style="160" customWidth="1"/>
    <col min="4" max="4" width="7.5" style="168" customWidth="1"/>
    <col min="5" max="5" width="13.33203125" style="110" customWidth="1"/>
    <col min="6" max="6" width="6.6640625" style="166" customWidth="1"/>
    <col min="7" max="7" width="12.6640625" style="110" customWidth="1"/>
    <col min="8" max="8" width="0.83203125" style="110" customWidth="1"/>
    <col min="9" max="9" width="4.6640625" style="159" customWidth="1"/>
    <col min="10" max="10" width="6.5" style="159" customWidth="1"/>
    <col min="11" max="11" width="26.6640625" style="164" customWidth="1"/>
    <col min="12" max="12" width="7.5" style="168" customWidth="1"/>
    <col min="13" max="13" width="12.83203125" style="169" customWidth="1"/>
    <col min="14" max="14" width="6.6640625" style="166" customWidth="1"/>
    <col min="15" max="15" width="12.6640625" style="110" customWidth="1"/>
    <col min="16" max="16" width="0.83203125" style="110" customWidth="1"/>
    <col min="17" max="18" width="26.6640625" style="167" customWidth="1"/>
    <col min="19" max="19" width="12.33203125" style="169" customWidth="1"/>
    <col min="20" max="20" width="9.6640625" style="169" hidden="1" customWidth="1"/>
    <col min="21" max="21" width="15.6640625" style="169" bestFit="1" customWidth="1"/>
    <col min="22" max="22" width="6.6640625" style="166" customWidth="1"/>
    <col min="23" max="23" width="15.5" style="110" bestFit="1" customWidth="1"/>
    <col min="24" max="24" width="0.83203125" style="92" customWidth="1"/>
    <col min="25" max="25" width="4.5" style="446" customWidth="1"/>
    <col min="26" max="26" width="12.33203125" style="446" customWidth="1"/>
    <col min="27" max="27" width="12.33203125" style="446" hidden="1" customWidth="1"/>
    <col min="28" max="28" width="26.6640625" style="447" customWidth="1"/>
    <col min="29" max="29" width="7.5" style="92" customWidth="1"/>
    <col min="30" max="30" width="14.6640625" style="92" customWidth="1"/>
    <col min="31" max="31" width="7.33203125" style="450" bestFit="1" customWidth="1"/>
    <col min="32" max="32" width="13.33203125" style="92" bestFit="1" customWidth="1"/>
    <col min="33" max="33" width="0.6640625" style="92" customWidth="1"/>
    <col min="34" max="16384" width="9.33203125" style="92"/>
  </cols>
  <sheetData>
    <row r="1" spans="1:33" ht="90" customHeight="1" thickBot="1" x14ac:dyDescent="0.75">
      <c r="A1" s="109"/>
      <c r="B1" s="109"/>
      <c r="C1" s="109"/>
      <c r="D1" s="109"/>
      <c r="E1" s="109"/>
      <c r="F1" s="109"/>
      <c r="G1" s="109"/>
      <c r="I1" s="109"/>
      <c r="J1" s="109"/>
      <c r="K1" s="697" t="s">
        <v>476</v>
      </c>
      <c r="L1" s="688"/>
      <c r="M1" s="688"/>
      <c r="N1" s="688"/>
      <c r="O1" s="688"/>
      <c r="P1" s="688"/>
      <c r="Q1" s="688"/>
      <c r="R1" s="688"/>
      <c r="T1" s="109"/>
      <c r="U1" s="109"/>
      <c r="V1" s="109"/>
      <c r="W1" s="109"/>
      <c r="Y1" s="597"/>
      <c r="Z1" s="111"/>
      <c r="AA1" s="111"/>
      <c r="AB1" s="424"/>
      <c r="AC1" s="111"/>
      <c r="AD1" s="111"/>
      <c r="AE1" s="111"/>
      <c r="AF1" s="111"/>
      <c r="AG1" s="111"/>
    </row>
    <row r="2" spans="1:33" ht="54" customHeight="1" thickTop="1" x14ac:dyDescent="0.2">
      <c r="A2" s="793" t="s">
        <v>132</v>
      </c>
      <c r="B2" s="793"/>
      <c r="C2" s="793"/>
      <c r="D2" s="793"/>
      <c r="E2" s="793"/>
      <c r="F2" s="793"/>
      <c r="G2" s="793"/>
      <c r="I2" s="801" t="s">
        <v>205</v>
      </c>
      <c r="J2" s="801"/>
      <c r="K2" s="801"/>
      <c r="L2" s="801"/>
      <c r="M2" s="801"/>
      <c r="N2" s="801"/>
      <c r="O2" s="801"/>
      <c r="Q2" s="794" t="s">
        <v>133</v>
      </c>
      <c r="R2" s="794"/>
      <c r="S2" s="794"/>
      <c r="T2" s="794"/>
      <c r="U2" s="794"/>
      <c r="V2" s="794"/>
      <c r="W2" s="794"/>
      <c r="Y2" s="795" t="s">
        <v>134</v>
      </c>
      <c r="Z2" s="796"/>
      <c r="AA2" s="796"/>
      <c r="AB2" s="796"/>
      <c r="AC2" s="796"/>
      <c r="AD2" s="796"/>
      <c r="AE2" s="796"/>
      <c r="AF2" s="797"/>
      <c r="AG2" s="112"/>
    </row>
    <row r="3" spans="1:33" ht="9.75" hidden="1" customHeight="1" thickBot="1" x14ac:dyDescent="0.25">
      <c r="A3" s="113"/>
      <c r="B3" s="114"/>
      <c r="C3" s="114"/>
      <c r="D3" s="114"/>
      <c r="E3" s="114"/>
      <c r="F3" s="114"/>
      <c r="G3" s="115"/>
      <c r="I3" s="114"/>
      <c r="J3" s="114"/>
      <c r="K3" s="114"/>
      <c r="L3" s="114"/>
      <c r="M3" s="114"/>
      <c r="N3" s="114"/>
      <c r="O3" s="115"/>
      <c r="Q3" s="114"/>
      <c r="R3" s="114"/>
      <c r="S3" s="114"/>
      <c r="T3" s="114"/>
      <c r="U3" s="114"/>
      <c r="V3" s="114"/>
      <c r="W3" s="116"/>
      <c r="Y3" s="425"/>
      <c r="Z3" s="426"/>
      <c r="AA3" s="426"/>
      <c r="AB3" s="426"/>
      <c r="AC3" s="426" t="s">
        <v>22</v>
      </c>
      <c r="AD3" s="426"/>
      <c r="AE3" s="426"/>
      <c r="AF3" s="427"/>
      <c r="AG3" s="112"/>
    </row>
    <row r="4" spans="1:33" ht="9.75" hidden="1" customHeight="1" thickBot="1" x14ac:dyDescent="0.25">
      <c r="A4" s="113"/>
      <c r="B4" s="114"/>
      <c r="C4" s="114"/>
      <c r="D4" s="114"/>
      <c r="E4" s="114"/>
      <c r="F4" s="114"/>
      <c r="G4" s="115"/>
      <c r="I4" s="114"/>
      <c r="J4" s="114"/>
      <c r="K4" s="114"/>
      <c r="L4" s="114"/>
      <c r="M4" s="114"/>
      <c r="N4" s="114"/>
      <c r="O4" s="115"/>
      <c r="Q4" s="114"/>
      <c r="R4" s="114"/>
      <c r="S4" s="114"/>
      <c r="T4" s="114"/>
      <c r="U4" s="114"/>
      <c r="V4" s="114"/>
      <c r="W4" s="116"/>
      <c r="Y4" s="425"/>
      <c r="Z4" s="426"/>
      <c r="AA4" s="426"/>
      <c r="AB4" s="426"/>
      <c r="AC4" s="426" t="s">
        <v>23</v>
      </c>
      <c r="AD4" s="426"/>
      <c r="AE4" s="426"/>
      <c r="AF4" s="427"/>
      <c r="AG4" s="112"/>
    </row>
    <row r="5" spans="1:33" ht="76" thickBot="1" x14ac:dyDescent="0.25">
      <c r="A5" s="117"/>
      <c r="B5" s="118" t="s">
        <v>208</v>
      </c>
      <c r="C5" s="119" t="s">
        <v>135</v>
      </c>
      <c r="D5" s="120" t="s">
        <v>136</v>
      </c>
      <c r="E5" s="121" t="s">
        <v>137</v>
      </c>
      <c r="F5" s="122" t="s">
        <v>138</v>
      </c>
      <c r="G5" s="420" t="s">
        <v>139</v>
      </c>
      <c r="H5" s="123"/>
      <c r="I5" s="124"/>
      <c r="J5" s="118" t="s">
        <v>208</v>
      </c>
      <c r="K5" s="119" t="s">
        <v>135</v>
      </c>
      <c r="L5" s="120" t="s">
        <v>136</v>
      </c>
      <c r="M5" s="121" t="s">
        <v>137</v>
      </c>
      <c r="N5" s="122" t="s">
        <v>138</v>
      </c>
      <c r="O5" s="420" t="s">
        <v>139</v>
      </c>
      <c r="P5" s="123"/>
      <c r="Q5" s="119" t="s">
        <v>135</v>
      </c>
      <c r="R5" s="119" t="s">
        <v>204</v>
      </c>
      <c r="S5" s="125" t="s">
        <v>150</v>
      </c>
      <c r="T5" s="363" t="s">
        <v>325</v>
      </c>
      <c r="U5" s="125" t="s">
        <v>140</v>
      </c>
      <c r="V5" s="122" t="s">
        <v>138</v>
      </c>
      <c r="W5" s="698" t="s">
        <v>382</v>
      </c>
      <c r="X5" s="126"/>
      <c r="Y5" s="428"/>
      <c r="Z5" s="429" t="s">
        <v>150</v>
      </c>
      <c r="AA5" s="430" t="s">
        <v>326</v>
      </c>
      <c r="AB5" s="431" t="s">
        <v>135</v>
      </c>
      <c r="AC5" s="631" t="s">
        <v>356</v>
      </c>
      <c r="AD5" s="432" t="s">
        <v>140</v>
      </c>
      <c r="AE5" s="433" t="s">
        <v>138</v>
      </c>
      <c r="AF5" s="170" t="s">
        <v>207</v>
      </c>
      <c r="AG5" s="127"/>
    </row>
    <row r="6" spans="1:33" ht="18" thickTop="1" thickBot="1" x14ac:dyDescent="0.25">
      <c r="A6" s="128"/>
      <c r="B6" s="749">
        <v>45895</v>
      </c>
      <c r="C6" s="750" t="s">
        <v>523</v>
      </c>
      <c r="D6" s="751"/>
      <c r="E6" s="752">
        <v>650000</v>
      </c>
      <c r="F6" s="753">
        <v>0.03</v>
      </c>
      <c r="G6" s="583">
        <f t="shared" ref="G6:G37" si="0">E6*F6</f>
        <v>19500</v>
      </c>
      <c r="I6" s="183"/>
      <c r="J6" s="184">
        <v>45945</v>
      </c>
      <c r="K6" s="129" t="s">
        <v>585</v>
      </c>
      <c r="L6" s="185"/>
      <c r="M6" s="186">
        <v>600000</v>
      </c>
      <c r="N6" s="187">
        <v>0.03</v>
      </c>
      <c r="O6" s="421">
        <f t="shared" ref="O6:O21" si="1">N6*M6</f>
        <v>18000</v>
      </c>
      <c r="P6" s="130"/>
      <c r="Q6" s="174" t="s">
        <v>578</v>
      </c>
      <c r="R6" s="175" t="s">
        <v>590</v>
      </c>
      <c r="S6" s="176">
        <v>46006</v>
      </c>
      <c r="T6" s="177"/>
      <c r="U6" s="178">
        <v>2350</v>
      </c>
      <c r="V6" s="179">
        <v>0</v>
      </c>
      <c r="W6" s="423">
        <f>U6*V6</f>
        <v>0</v>
      </c>
      <c r="Y6" s="434"/>
      <c r="Z6" s="435">
        <f>IF('Closed Transactions'!A3="", "",'Closed Transactions'!A3)</f>
        <v>45667</v>
      </c>
      <c r="AA6" s="436">
        <f>MONTH(Z6)</f>
        <v>1</v>
      </c>
      <c r="AB6" s="171" t="str">
        <f>IF('Closed Transactions'!F3="","",'Closed Transactions'!F3)</f>
        <v>Kevin Zhao</v>
      </c>
      <c r="AC6" s="437" t="str">
        <f>IF(AND('Closed Transactions'!B3="",'Closed Transactions'!C3=""),"",IF('Closed Transactions'!B3="","Sell","Buy"))</f>
        <v>Buy</v>
      </c>
      <c r="AD6" s="172">
        <f>'Closed Transactions'!I3</f>
        <v>610000</v>
      </c>
      <c r="AE6" s="438">
        <f>IF('Closed Transactions'!J3="","",'Closed Transactions'!J3)</f>
        <v>2.5000000000000001E-2</v>
      </c>
      <c r="AF6" s="173">
        <f>IF('Closed Transactions'!K3="","", 'Closed Transactions'!K3)</f>
        <v>15250</v>
      </c>
      <c r="AG6" s="131"/>
    </row>
    <row r="7" spans="1:33" ht="18" thickTop="1" thickBot="1" x14ac:dyDescent="0.25">
      <c r="A7" s="128"/>
      <c r="B7" s="754">
        <v>45896</v>
      </c>
      <c r="C7" s="755" t="s">
        <v>528</v>
      </c>
      <c r="D7" s="756"/>
      <c r="E7" s="757">
        <v>700000</v>
      </c>
      <c r="F7" s="753">
        <v>0.03</v>
      </c>
      <c r="G7" s="583">
        <f t="shared" si="0"/>
        <v>21000</v>
      </c>
      <c r="I7" s="183"/>
      <c r="J7" s="188">
        <v>45975</v>
      </c>
      <c r="K7" s="133" t="s">
        <v>517</v>
      </c>
      <c r="L7" s="189"/>
      <c r="M7" s="190">
        <v>500000</v>
      </c>
      <c r="N7" s="187">
        <v>2.5000000000000001E-2</v>
      </c>
      <c r="O7" s="421">
        <f t="shared" si="1"/>
        <v>12500</v>
      </c>
      <c r="P7" s="130"/>
      <c r="Q7" s="174"/>
      <c r="R7" s="174"/>
      <c r="S7" s="180"/>
      <c r="T7" s="177"/>
      <c r="U7" s="181"/>
      <c r="V7" s="179"/>
      <c r="W7" s="423">
        <f>U7*V7</f>
        <v>0</v>
      </c>
      <c r="Y7" s="434"/>
      <c r="Z7" s="435">
        <f>IF('Closed Transactions'!A4="", "",'Closed Transactions'!A4)</f>
        <v>45706</v>
      </c>
      <c r="AA7" s="436">
        <f t="shared" ref="AA7:AA69" si="2">MONTH(Z7)</f>
        <v>2</v>
      </c>
      <c r="AB7" s="171" t="str">
        <f>IF('Closed Transactions'!F4="","",'Closed Transactions'!F4)</f>
        <v>Cristina Samaha</v>
      </c>
      <c r="AC7" s="437" t="str">
        <f>IF(AND('Closed Transactions'!B4="",'Closed Transactions'!C4=""),"",IF('Closed Transactions'!B4="","Sell","Buy"))</f>
        <v>Buy</v>
      </c>
      <c r="AD7" s="172">
        <f>'Closed Transactions'!I4</f>
        <v>415900</v>
      </c>
      <c r="AE7" s="438">
        <f>IF('Closed Transactions'!J4="","",'Closed Transactions'!J4)</f>
        <v>2.4044241404183701E-2</v>
      </c>
      <c r="AF7" s="173">
        <f>IF('Closed Transactions'!K4="","", 'Closed Transactions'!K4)</f>
        <v>10000.000000000002</v>
      </c>
      <c r="AG7" s="131"/>
    </row>
    <row r="8" spans="1:33" ht="18" thickTop="1" thickBot="1" x14ac:dyDescent="0.25">
      <c r="A8" s="128"/>
      <c r="B8" s="754">
        <v>45930</v>
      </c>
      <c r="C8" s="758" t="s">
        <v>583</v>
      </c>
      <c r="D8" s="756"/>
      <c r="E8" s="757">
        <v>250000</v>
      </c>
      <c r="F8" s="753">
        <v>7.4999999999999997E-3</v>
      </c>
      <c r="G8" s="583">
        <f t="shared" si="0"/>
        <v>1875</v>
      </c>
      <c r="I8" s="183"/>
      <c r="J8" s="188">
        <v>45994</v>
      </c>
      <c r="K8" s="133" t="s">
        <v>522</v>
      </c>
      <c r="L8" s="189"/>
      <c r="M8" s="190">
        <v>1250000</v>
      </c>
      <c r="N8" s="187">
        <v>0.03</v>
      </c>
      <c r="O8" s="421">
        <f t="shared" si="1"/>
        <v>37500</v>
      </c>
      <c r="P8" s="130"/>
      <c r="Q8" s="174"/>
      <c r="R8" s="174"/>
      <c r="S8" s="180"/>
      <c r="T8" s="177"/>
      <c r="U8" s="181"/>
      <c r="V8" s="179"/>
      <c r="W8" s="423">
        <f t="shared" ref="W8:W34" si="3">U8*V8</f>
        <v>0</v>
      </c>
      <c r="Y8" s="434"/>
      <c r="Z8" s="435">
        <f>IF('Closed Transactions'!A5="", "",'Closed Transactions'!A5)</f>
        <v>45717</v>
      </c>
      <c r="AA8" s="436">
        <f t="shared" si="2"/>
        <v>3</v>
      </c>
      <c r="AB8" s="171" t="str">
        <f>IF('Closed Transactions'!F5="","",'Closed Transactions'!F5)</f>
        <v>Kim &amp; Damon Sidur</v>
      </c>
      <c r="AC8" s="437" t="str">
        <f>IF(AND('Closed Transactions'!B5="",'Closed Transactions'!C5=""),"",IF('Closed Transactions'!B5="","Sell","Buy"))</f>
        <v>Buy</v>
      </c>
      <c r="AD8" s="172">
        <f>'Closed Transactions'!I5</f>
        <v>2650</v>
      </c>
      <c r="AE8" s="438">
        <f>IF('Closed Transactions'!J5="","",'Closed Transactions'!J5)</f>
        <v>0.25</v>
      </c>
      <c r="AF8" s="173">
        <f>IF('Closed Transactions'!K5="","", 'Closed Transactions'!K5)</f>
        <v>662.5</v>
      </c>
      <c r="AG8" s="131"/>
    </row>
    <row r="9" spans="1:33" ht="18" thickTop="1" thickBot="1" x14ac:dyDescent="0.25">
      <c r="A9" s="128"/>
      <c r="B9" s="754">
        <v>45933</v>
      </c>
      <c r="C9" s="755" t="s">
        <v>497</v>
      </c>
      <c r="D9" s="756"/>
      <c r="E9" s="757">
        <v>750000</v>
      </c>
      <c r="F9" s="753">
        <v>0.03</v>
      </c>
      <c r="G9" s="583">
        <f t="shared" si="0"/>
        <v>22500</v>
      </c>
      <c r="I9" s="183"/>
      <c r="J9" s="188">
        <v>45995</v>
      </c>
      <c r="K9" s="133" t="s">
        <v>557</v>
      </c>
      <c r="L9" s="189"/>
      <c r="M9" s="190">
        <v>250000</v>
      </c>
      <c r="N9" s="187">
        <v>0.03</v>
      </c>
      <c r="O9" s="421">
        <f t="shared" si="1"/>
        <v>7500</v>
      </c>
      <c r="P9" s="130"/>
      <c r="Q9" s="174"/>
      <c r="R9" s="174"/>
      <c r="S9" s="180"/>
      <c r="T9" s="177"/>
      <c r="U9" s="181"/>
      <c r="V9" s="179"/>
      <c r="W9" s="423">
        <f t="shared" si="3"/>
        <v>0</v>
      </c>
      <c r="Y9" s="434"/>
      <c r="Z9" s="435">
        <f>IF('Closed Transactions'!A6="", "",'Closed Transactions'!A6)</f>
        <v>45724</v>
      </c>
      <c r="AA9" s="436">
        <f t="shared" si="2"/>
        <v>3</v>
      </c>
      <c r="AB9" s="171" t="str">
        <f>IF('Closed Transactions'!F6="","",'Closed Transactions'!F6)</f>
        <v>Anne Duffy, Elizabeth &amp; Ariel</v>
      </c>
      <c r="AC9" s="437" t="str">
        <f>IF(AND('Closed Transactions'!B6="",'Closed Transactions'!C6=""),"",IF('Closed Transactions'!B6="","Sell","Buy"))</f>
        <v>Buy</v>
      </c>
      <c r="AD9" s="172">
        <f>'Closed Transactions'!I6</f>
        <v>2995</v>
      </c>
      <c r="AE9" s="438">
        <f>IF('Closed Transactions'!J6="","",'Closed Transactions'!J6)</f>
        <v>1</v>
      </c>
      <c r="AF9" s="173">
        <f>IF('Closed Transactions'!K6="","", 'Closed Transactions'!K6)</f>
        <v>2995</v>
      </c>
      <c r="AG9" s="131"/>
    </row>
    <row r="10" spans="1:33" ht="18" thickTop="1" thickBot="1" x14ac:dyDescent="0.25">
      <c r="A10" s="128"/>
      <c r="B10" s="754">
        <v>45933</v>
      </c>
      <c r="C10" s="758" t="s">
        <v>500</v>
      </c>
      <c r="D10" s="756"/>
      <c r="E10" s="759">
        <v>500000</v>
      </c>
      <c r="F10" s="753">
        <v>0.03</v>
      </c>
      <c r="G10" s="583">
        <f t="shared" si="0"/>
        <v>15000</v>
      </c>
      <c r="I10" s="183"/>
      <c r="J10" s="188">
        <v>46000</v>
      </c>
      <c r="K10" s="133" t="s">
        <v>593</v>
      </c>
      <c r="L10" s="189"/>
      <c r="M10" s="191">
        <v>350000</v>
      </c>
      <c r="N10" s="187">
        <v>0.03</v>
      </c>
      <c r="O10" s="421">
        <f t="shared" si="1"/>
        <v>10500</v>
      </c>
      <c r="P10" s="130"/>
      <c r="Q10" s="174"/>
      <c r="R10" s="174"/>
      <c r="S10" s="180"/>
      <c r="T10" s="177"/>
      <c r="U10" s="181"/>
      <c r="V10" s="179"/>
      <c r="W10" s="423">
        <f t="shared" si="3"/>
        <v>0</v>
      </c>
      <c r="Y10" s="434"/>
      <c r="Z10" s="435">
        <f>IF('Closed Transactions'!A7="", "",'Closed Transactions'!A7)</f>
        <v>45757</v>
      </c>
      <c r="AA10" s="436">
        <f t="shared" si="2"/>
        <v>4</v>
      </c>
      <c r="AB10" s="171" t="str">
        <f>IF('Closed Transactions'!F7="","",'Closed Transactions'!F7)</f>
        <v>Lindsey Jasper &amp; Ben Fielder</v>
      </c>
      <c r="AC10" s="437" t="str">
        <f>IF(AND('Closed Transactions'!B7="",'Closed Transactions'!C7=""),"",IF('Closed Transactions'!B7="","Sell","Buy"))</f>
        <v>Buy</v>
      </c>
      <c r="AD10" s="172">
        <f>'Closed Transactions'!I7</f>
        <v>750000</v>
      </c>
      <c r="AE10" s="438">
        <f>IF('Closed Transactions'!J7="","",'Closed Transactions'!J7)</f>
        <v>0.03</v>
      </c>
      <c r="AF10" s="173">
        <f>IF('Closed Transactions'!K7="","", 'Closed Transactions'!K7)</f>
        <v>22500</v>
      </c>
      <c r="AG10" s="131"/>
    </row>
    <row r="11" spans="1:33" ht="18" thickTop="1" thickBot="1" x14ac:dyDescent="0.25">
      <c r="A11" s="128"/>
      <c r="B11" s="754">
        <v>45936</v>
      </c>
      <c r="C11" s="758" t="s">
        <v>511</v>
      </c>
      <c r="D11" s="756"/>
      <c r="E11" s="757">
        <v>500000</v>
      </c>
      <c r="F11" s="753">
        <v>0.03</v>
      </c>
      <c r="G11" s="583">
        <f t="shared" si="0"/>
        <v>15000</v>
      </c>
      <c r="I11" s="183"/>
      <c r="J11" s="188">
        <v>46000</v>
      </c>
      <c r="K11" s="133" t="s">
        <v>580</v>
      </c>
      <c r="L11" s="189"/>
      <c r="M11" s="190">
        <v>550000</v>
      </c>
      <c r="N11" s="187">
        <v>0.03</v>
      </c>
      <c r="O11" s="421">
        <f t="shared" si="1"/>
        <v>16500</v>
      </c>
      <c r="P11" s="130"/>
      <c r="Q11" s="174"/>
      <c r="R11" s="174"/>
      <c r="S11" s="180"/>
      <c r="T11" s="177">
        <f t="shared" ref="T11:T34" si="4">MONTH(S11)</f>
        <v>1</v>
      </c>
      <c r="U11" s="181"/>
      <c r="V11" s="179"/>
      <c r="W11" s="423">
        <f t="shared" si="3"/>
        <v>0</v>
      </c>
      <c r="Y11" s="434"/>
      <c r="Z11" s="435">
        <f>IF('Closed Transactions'!A8="", "",'Closed Transactions'!A8)</f>
        <v>45758</v>
      </c>
      <c r="AA11" s="436">
        <f t="shared" si="2"/>
        <v>4</v>
      </c>
      <c r="AB11" s="171" t="str">
        <f>IF('Closed Transactions'!F8="","",'Closed Transactions'!F8)</f>
        <v>Doug Church</v>
      </c>
      <c r="AC11" s="437" t="str">
        <f>IF(AND('Closed Transactions'!B8="",'Closed Transactions'!C8=""),"",IF('Closed Transactions'!B8="","Sell","Buy"))</f>
        <v>Sell</v>
      </c>
      <c r="AD11" s="172">
        <f>'Closed Transactions'!I8</f>
        <v>1300000</v>
      </c>
      <c r="AE11" s="438">
        <f>IF('Closed Transactions'!J8="","",'Closed Transactions'!J8)</f>
        <v>0.03</v>
      </c>
      <c r="AF11" s="173">
        <f>IF('Closed Transactions'!K8="","", 'Closed Transactions'!K8)</f>
        <v>39000</v>
      </c>
      <c r="AG11" s="131"/>
    </row>
    <row r="12" spans="1:33" ht="18" thickTop="1" thickBot="1" x14ac:dyDescent="0.25">
      <c r="A12" s="128"/>
      <c r="B12" s="754">
        <v>45952</v>
      </c>
      <c r="C12" s="758" t="s">
        <v>526</v>
      </c>
      <c r="D12" s="756"/>
      <c r="E12" s="757">
        <v>600000</v>
      </c>
      <c r="F12" s="753">
        <v>7.4999999999999997E-3</v>
      </c>
      <c r="G12" s="583">
        <f t="shared" si="0"/>
        <v>4500</v>
      </c>
      <c r="I12" s="183"/>
      <c r="J12" s="188">
        <v>46001</v>
      </c>
      <c r="K12" s="133" t="s">
        <v>515</v>
      </c>
      <c r="L12" s="189"/>
      <c r="M12" s="190">
        <v>800000</v>
      </c>
      <c r="N12" s="187">
        <v>2.5000000000000001E-2</v>
      </c>
      <c r="O12" s="421">
        <f t="shared" si="1"/>
        <v>20000</v>
      </c>
      <c r="P12" s="130"/>
      <c r="Q12" s="174"/>
      <c r="R12" s="174"/>
      <c r="S12" s="180"/>
      <c r="T12" s="177">
        <f t="shared" si="4"/>
        <v>1</v>
      </c>
      <c r="U12" s="181"/>
      <c r="V12" s="179"/>
      <c r="W12" s="423">
        <f t="shared" si="3"/>
        <v>0</v>
      </c>
      <c r="Y12" s="434"/>
      <c r="Z12" s="435">
        <f>IF('Closed Transactions'!A9="", "",'Closed Transactions'!A9)</f>
        <v>45828</v>
      </c>
      <c r="AA12" s="436">
        <f t="shared" si="2"/>
        <v>6</v>
      </c>
      <c r="AB12" s="171" t="str">
        <f>IF('Closed Transactions'!F9="","",'Closed Transactions'!F9)</f>
        <v>Ashraf Kadri</v>
      </c>
      <c r="AC12" s="437" t="str">
        <f>IF(AND('Closed Transactions'!B9="",'Closed Transactions'!C9=""),"",IF('Closed Transactions'!B9="","Sell","Buy"))</f>
        <v>Buy</v>
      </c>
      <c r="AD12" s="172">
        <f>'Closed Transactions'!I9</f>
        <v>390000</v>
      </c>
      <c r="AE12" s="438">
        <f>IF('Closed Transactions'!J9="","",'Closed Transactions'!J9)</f>
        <v>7.4999999999999997E-3</v>
      </c>
      <c r="AF12" s="173">
        <f>IF('Closed Transactions'!K9="","", 'Closed Transactions'!K9)</f>
        <v>2925</v>
      </c>
      <c r="AG12" s="131"/>
    </row>
    <row r="13" spans="1:33" ht="18" thickTop="1" thickBot="1" x14ac:dyDescent="0.25">
      <c r="A13" s="128"/>
      <c r="B13" s="754">
        <v>45957</v>
      </c>
      <c r="C13" s="758" t="s">
        <v>507</v>
      </c>
      <c r="D13" s="756"/>
      <c r="E13" s="757">
        <v>650000</v>
      </c>
      <c r="F13" s="753">
        <v>0.03</v>
      </c>
      <c r="G13" s="583">
        <f t="shared" si="0"/>
        <v>19500</v>
      </c>
      <c r="I13" s="183"/>
      <c r="J13" s="188">
        <v>46002</v>
      </c>
      <c r="K13" s="133" t="s">
        <v>586</v>
      </c>
      <c r="L13" s="189"/>
      <c r="M13" s="190">
        <v>650000</v>
      </c>
      <c r="N13" s="187">
        <v>0.03</v>
      </c>
      <c r="O13" s="421">
        <f t="shared" si="1"/>
        <v>19500</v>
      </c>
      <c r="P13" s="130"/>
      <c r="Q13" s="174"/>
      <c r="R13" s="174"/>
      <c r="S13" s="180"/>
      <c r="T13" s="177">
        <f t="shared" si="4"/>
        <v>1</v>
      </c>
      <c r="U13" s="181"/>
      <c r="V13" s="179"/>
      <c r="W13" s="423">
        <f t="shared" si="3"/>
        <v>0</v>
      </c>
      <c r="Y13" s="434"/>
      <c r="Z13" s="435">
        <f>IF('Closed Transactions'!A10="", "",'Closed Transactions'!A10)</f>
        <v>45838</v>
      </c>
      <c r="AA13" s="436">
        <f t="shared" si="2"/>
        <v>6</v>
      </c>
      <c r="AB13" s="171" t="str">
        <f>IF('Closed Transactions'!F10="","",'Closed Transactions'!F10)</f>
        <v>Nathan Desnoyers</v>
      </c>
      <c r="AC13" s="437" t="str">
        <f>IF(AND('Closed Transactions'!B10="",'Closed Transactions'!C10=""),"",IF('Closed Transactions'!B10="","Sell","Buy"))</f>
        <v>Sell</v>
      </c>
      <c r="AD13" s="172">
        <f>'Closed Transactions'!I10</f>
        <v>365000</v>
      </c>
      <c r="AE13" s="438">
        <f>IF('Closed Transactions'!J10="","",'Closed Transactions'!J10)</f>
        <v>0</v>
      </c>
      <c r="AF13" s="173">
        <f>IF('Closed Transactions'!K10="","", 'Closed Transactions'!K10)</f>
        <v>0</v>
      </c>
      <c r="AG13" s="131"/>
    </row>
    <row r="14" spans="1:33" ht="18" thickTop="1" thickBot="1" x14ac:dyDescent="0.25">
      <c r="A14" s="128"/>
      <c r="B14" s="754">
        <v>45958</v>
      </c>
      <c r="C14" s="758" t="s">
        <v>525</v>
      </c>
      <c r="D14" s="756"/>
      <c r="E14" s="757">
        <v>1800000</v>
      </c>
      <c r="F14" s="753">
        <v>2.5000000000000001E-2</v>
      </c>
      <c r="G14" s="583">
        <f t="shared" si="0"/>
        <v>45000</v>
      </c>
      <c r="I14" s="183"/>
      <c r="J14" s="188">
        <v>46004</v>
      </c>
      <c r="K14" s="133" t="s">
        <v>545</v>
      </c>
      <c r="L14" s="189"/>
      <c r="M14" s="190">
        <v>500000</v>
      </c>
      <c r="N14" s="187">
        <v>2.2499999999999999E-2</v>
      </c>
      <c r="O14" s="421">
        <f t="shared" si="1"/>
        <v>11250</v>
      </c>
      <c r="P14" s="130"/>
      <c r="Q14" s="174"/>
      <c r="R14" s="174"/>
      <c r="S14" s="180"/>
      <c r="T14" s="177">
        <f t="shared" si="4"/>
        <v>1</v>
      </c>
      <c r="U14" s="181"/>
      <c r="V14" s="179"/>
      <c r="W14" s="423">
        <f t="shared" si="3"/>
        <v>0</v>
      </c>
      <c r="Y14" s="434"/>
      <c r="Z14" s="435">
        <f>IF('Closed Transactions'!A11="", "",'Closed Transactions'!A11)</f>
        <v>45839</v>
      </c>
      <c r="AA14" s="436">
        <f t="shared" si="2"/>
        <v>7</v>
      </c>
      <c r="AB14" s="171" t="str">
        <f>IF('Closed Transactions'!F11="","",'Closed Transactions'!F11)</f>
        <v>Saria Alshaikhalia</v>
      </c>
      <c r="AC14" s="437" t="str">
        <f>IF(AND('Closed Transactions'!B11="",'Closed Transactions'!C11=""),"",IF('Closed Transactions'!B11="","Sell","Buy"))</f>
        <v>Buy</v>
      </c>
      <c r="AD14" s="172">
        <f>'Closed Transactions'!I11</f>
        <v>2195</v>
      </c>
      <c r="AE14" s="438">
        <f>IF('Closed Transactions'!J11="","",'Closed Transactions'!J11)</f>
        <v>0.25</v>
      </c>
      <c r="AF14" s="173">
        <f>IF('Closed Transactions'!K11="","", 'Closed Transactions'!K11)</f>
        <v>548.75</v>
      </c>
      <c r="AG14" s="131"/>
    </row>
    <row r="15" spans="1:33" ht="18" thickTop="1" thickBot="1" x14ac:dyDescent="0.25">
      <c r="A15" s="128"/>
      <c r="B15" s="754">
        <v>45960</v>
      </c>
      <c r="C15" s="758" t="s">
        <v>501</v>
      </c>
      <c r="D15" s="756"/>
      <c r="E15" s="757">
        <v>1100000</v>
      </c>
      <c r="F15" s="753">
        <v>0.03</v>
      </c>
      <c r="G15" s="583">
        <f t="shared" si="0"/>
        <v>33000</v>
      </c>
      <c r="I15" s="183"/>
      <c r="J15" s="188">
        <v>46004</v>
      </c>
      <c r="K15" s="133" t="s">
        <v>491</v>
      </c>
      <c r="L15" s="189"/>
      <c r="M15" s="190">
        <v>400000</v>
      </c>
      <c r="N15" s="187">
        <v>0.02</v>
      </c>
      <c r="O15" s="421">
        <f t="shared" si="1"/>
        <v>8000</v>
      </c>
      <c r="P15" s="130"/>
      <c r="Q15" s="174"/>
      <c r="R15" s="174"/>
      <c r="S15" s="180"/>
      <c r="T15" s="177">
        <f t="shared" si="4"/>
        <v>1</v>
      </c>
      <c r="U15" s="181"/>
      <c r="V15" s="179"/>
      <c r="W15" s="423">
        <f t="shared" si="3"/>
        <v>0</v>
      </c>
      <c r="Y15" s="434"/>
      <c r="Z15" s="435">
        <f>IF('Closed Transactions'!A12="", "",'Closed Transactions'!A12)</f>
        <v>45839</v>
      </c>
      <c r="AA15" s="436">
        <f t="shared" si="2"/>
        <v>7</v>
      </c>
      <c r="AB15" s="171" t="str">
        <f>IF('Closed Transactions'!F12="","",'Closed Transactions'!F12)</f>
        <v>Sneha Durgapal &amp; Alex Hennessy</v>
      </c>
      <c r="AC15" s="437" t="str">
        <f>IF(AND('Closed Transactions'!B12="",'Closed Transactions'!C12=""),"",IF('Closed Transactions'!B12="","Sell","Buy"))</f>
        <v>Buy</v>
      </c>
      <c r="AD15" s="172">
        <f>'Closed Transactions'!I12</f>
        <v>3150</v>
      </c>
      <c r="AE15" s="438">
        <f>IF('Closed Transactions'!J12="","",'Closed Transactions'!J12)</f>
        <v>0</v>
      </c>
      <c r="AF15" s="173">
        <f>IF('Closed Transactions'!K12="","", 'Closed Transactions'!K12)</f>
        <v>0</v>
      </c>
      <c r="AG15" s="131"/>
    </row>
    <row r="16" spans="1:33" ht="18" thickTop="1" thickBot="1" x14ac:dyDescent="0.25">
      <c r="A16" s="128"/>
      <c r="B16" s="754">
        <v>45968</v>
      </c>
      <c r="C16" s="758" t="s">
        <v>505</v>
      </c>
      <c r="D16" s="756"/>
      <c r="E16" s="757">
        <v>500000</v>
      </c>
      <c r="F16" s="753">
        <v>0.03</v>
      </c>
      <c r="G16" s="583">
        <f t="shared" si="0"/>
        <v>15000</v>
      </c>
      <c r="I16" s="183"/>
      <c r="J16" s="188">
        <v>46005</v>
      </c>
      <c r="K16" s="133" t="s">
        <v>548</v>
      </c>
      <c r="L16" s="189"/>
      <c r="M16" s="190">
        <v>600000</v>
      </c>
      <c r="N16" s="187">
        <v>0.03</v>
      </c>
      <c r="O16" s="421">
        <f t="shared" si="1"/>
        <v>18000</v>
      </c>
      <c r="P16" s="130"/>
      <c r="Q16" s="174"/>
      <c r="R16" s="174"/>
      <c r="S16" s="180"/>
      <c r="T16" s="177">
        <f t="shared" si="4"/>
        <v>1</v>
      </c>
      <c r="U16" s="181"/>
      <c r="V16" s="179"/>
      <c r="W16" s="423">
        <f t="shared" si="3"/>
        <v>0</v>
      </c>
      <c r="Y16" s="434"/>
      <c r="Z16" s="435">
        <f>IF('Closed Transactions'!A13="", "",'Closed Transactions'!A13)</f>
        <v>45845</v>
      </c>
      <c r="AA16" s="436">
        <f t="shared" si="2"/>
        <v>7</v>
      </c>
      <c r="AB16" s="171" t="str">
        <f>IF('Closed Transactions'!F13="","",'Closed Transactions'!F13)</f>
        <v>Jared Traggic &amp; Kiana Spearman</v>
      </c>
      <c r="AC16" s="437" t="str">
        <f>IF(AND('Closed Transactions'!B13="",'Closed Transactions'!C13=""),"",IF('Closed Transactions'!B13="","Sell","Buy"))</f>
        <v>Buy</v>
      </c>
      <c r="AD16" s="172">
        <f>'Closed Transactions'!I13</f>
        <v>2400</v>
      </c>
      <c r="AE16" s="438">
        <f>IF('Closed Transactions'!J13="","",'Closed Transactions'!J13)</f>
        <v>0.25</v>
      </c>
      <c r="AF16" s="173">
        <f>IF('Closed Transactions'!K13="","", 'Closed Transactions'!K13)</f>
        <v>600</v>
      </c>
      <c r="AG16" s="131"/>
    </row>
    <row r="17" spans="1:33" ht="18" thickTop="1" thickBot="1" x14ac:dyDescent="0.25">
      <c r="A17" s="128"/>
      <c r="B17" s="754">
        <v>45969</v>
      </c>
      <c r="C17" s="758" t="s">
        <v>494</v>
      </c>
      <c r="D17" s="756"/>
      <c r="E17" s="757">
        <v>1700000</v>
      </c>
      <c r="F17" s="753">
        <v>0.03</v>
      </c>
      <c r="G17" s="583">
        <f t="shared" si="0"/>
        <v>51000</v>
      </c>
      <c r="I17" s="183"/>
      <c r="J17" s="188">
        <v>46006</v>
      </c>
      <c r="K17" s="133" t="s">
        <v>584</v>
      </c>
      <c r="L17" s="189"/>
      <c r="M17" s="190">
        <v>750000</v>
      </c>
      <c r="N17" s="187">
        <v>0.03</v>
      </c>
      <c r="O17" s="421">
        <f t="shared" si="1"/>
        <v>22500</v>
      </c>
      <c r="P17" s="130"/>
      <c r="Q17" s="174"/>
      <c r="R17" s="174"/>
      <c r="S17" s="180"/>
      <c r="T17" s="177">
        <f t="shared" si="4"/>
        <v>1</v>
      </c>
      <c r="U17" s="181"/>
      <c r="V17" s="179"/>
      <c r="W17" s="423">
        <f t="shared" si="3"/>
        <v>0</v>
      </c>
      <c r="Y17" s="434"/>
      <c r="Z17" s="435">
        <f>IF('Closed Transactions'!A14="", "",'Closed Transactions'!A14)</f>
        <v>45853</v>
      </c>
      <c r="AA17" s="436">
        <f t="shared" si="2"/>
        <v>7</v>
      </c>
      <c r="AB17" s="171" t="str">
        <f>IF('Closed Transactions'!F14="","",'Closed Transactions'!F14)</f>
        <v>Kristine &amp; Ken Delos Reyes</v>
      </c>
      <c r="AC17" s="437" t="str">
        <f>IF(AND('Closed Transactions'!B14="",'Closed Transactions'!C14=""),"",IF('Closed Transactions'!B14="","Sell","Buy"))</f>
        <v>Buy</v>
      </c>
      <c r="AD17" s="172">
        <f>'Closed Transactions'!I14</f>
        <v>665280</v>
      </c>
      <c r="AE17" s="438">
        <f>IF('Closed Transactions'!J14="","",'Closed Transactions'!J14)</f>
        <v>9.0187600000000007E-3</v>
      </c>
      <c r="AF17" s="173">
        <f>IF('Closed Transactions'!K14="","", 'Closed Transactions'!K14)</f>
        <v>6000.0006528000004</v>
      </c>
      <c r="AG17" s="131"/>
    </row>
    <row r="18" spans="1:33" ht="34" thickTop="1" thickBot="1" x14ac:dyDescent="0.25">
      <c r="A18" s="128"/>
      <c r="B18" s="754">
        <v>45992</v>
      </c>
      <c r="C18" s="758" t="s">
        <v>582</v>
      </c>
      <c r="D18" s="756"/>
      <c r="E18" s="757">
        <v>850000</v>
      </c>
      <c r="F18" s="753">
        <v>0.03</v>
      </c>
      <c r="G18" s="583">
        <f t="shared" si="0"/>
        <v>25500</v>
      </c>
      <c r="I18" s="183"/>
      <c r="J18" s="188">
        <v>46003</v>
      </c>
      <c r="K18" s="133" t="s">
        <v>597</v>
      </c>
      <c r="L18" s="189"/>
      <c r="M18" s="190">
        <v>400000</v>
      </c>
      <c r="N18" s="187">
        <v>0.03</v>
      </c>
      <c r="O18" s="421">
        <f t="shared" si="1"/>
        <v>12000</v>
      </c>
      <c r="P18" s="130"/>
      <c r="Q18" s="174"/>
      <c r="R18" s="174"/>
      <c r="S18" s="180"/>
      <c r="T18" s="177">
        <f t="shared" si="4"/>
        <v>1</v>
      </c>
      <c r="U18" s="181"/>
      <c r="V18" s="179"/>
      <c r="W18" s="423">
        <f t="shared" si="3"/>
        <v>0</v>
      </c>
      <c r="Y18" s="434"/>
      <c r="Z18" s="435">
        <f>IF('Closed Transactions'!A15="", "",'Closed Transactions'!A15)</f>
        <v>45884</v>
      </c>
      <c r="AA18" s="436">
        <f t="shared" si="2"/>
        <v>8</v>
      </c>
      <c r="AB18" s="171" t="str">
        <f>IF('Closed Transactions'!F15="","",'Closed Transactions'!F15)</f>
        <v>Anne Duffy, Joshua Foote, Kate McCusker</v>
      </c>
      <c r="AC18" s="437" t="str">
        <f>IF(AND('Closed Transactions'!B15="",'Closed Transactions'!C15=""),"",IF('Closed Transactions'!B15="","Sell","Buy"))</f>
        <v>Buy</v>
      </c>
      <c r="AD18" s="172">
        <f>'Closed Transactions'!I15</f>
        <v>3295</v>
      </c>
      <c r="AE18" s="438">
        <f>IF('Closed Transactions'!J15="","",'Closed Transactions'!J15)</f>
        <v>1</v>
      </c>
      <c r="AF18" s="173">
        <f>IF('Closed Transactions'!K15="","", 'Closed Transactions'!K15)</f>
        <v>3295</v>
      </c>
      <c r="AG18" s="131"/>
    </row>
    <row r="19" spans="1:33" ht="18" thickTop="1" thickBot="1" x14ac:dyDescent="0.25">
      <c r="A19" s="128"/>
      <c r="B19" s="754">
        <v>45993</v>
      </c>
      <c r="C19" s="758" t="s">
        <v>495</v>
      </c>
      <c r="D19" s="756"/>
      <c r="E19" s="757">
        <v>1400000</v>
      </c>
      <c r="F19" s="753">
        <v>0.03</v>
      </c>
      <c r="G19" s="583">
        <f t="shared" si="0"/>
        <v>42000</v>
      </c>
      <c r="I19" s="183"/>
      <c r="J19" s="188">
        <v>46006</v>
      </c>
      <c r="K19" s="133" t="s">
        <v>596</v>
      </c>
      <c r="L19" s="189"/>
      <c r="M19" s="190">
        <v>650000</v>
      </c>
      <c r="N19" s="187">
        <v>0.03</v>
      </c>
      <c r="O19" s="421">
        <f t="shared" si="1"/>
        <v>19500</v>
      </c>
      <c r="P19" s="130"/>
      <c r="Q19" s="174"/>
      <c r="R19" s="174"/>
      <c r="S19" s="180"/>
      <c r="T19" s="177">
        <f t="shared" si="4"/>
        <v>1</v>
      </c>
      <c r="U19" s="181"/>
      <c r="V19" s="179"/>
      <c r="W19" s="423">
        <f t="shared" si="3"/>
        <v>0</v>
      </c>
      <c r="Y19" s="434"/>
      <c r="Z19" s="435">
        <f>IF('Closed Transactions'!A16="", "",'Closed Transactions'!A16)</f>
        <v>45903</v>
      </c>
      <c r="AA19" s="436">
        <f t="shared" si="2"/>
        <v>9</v>
      </c>
      <c r="AB19" s="171" t="str">
        <f>IF('Closed Transactions'!F16="","",'Closed Transactions'!F16)</f>
        <v>Cintia Samaha Desnoyers</v>
      </c>
      <c r="AC19" s="437" t="str">
        <f>IF(AND('Closed Transactions'!B16="",'Closed Transactions'!C16=""),"",IF('Closed Transactions'!B16="","Sell","Buy"))</f>
        <v>Buy</v>
      </c>
      <c r="AD19" s="172">
        <f>'Closed Transactions'!I16</f>
        <v>615000</v>
      </c>
      <c r="AE19" s="438">
        <f>IF('Closed Transactions'!J16="","",'Closed Transactions'!J16)</f>
        <v>0</v>
      </c>
      <c r="AF19" s="173">
        <f>IF('Closed Transactions'!K16="","", 'Closed Transactions'!K16)</f>
        <v>0</v>
      </c>
      <c r="AG19" s="131"/>
    </row>
    <row r="20" spans="1:33" ht="34" thickTop="1" thickBot="1" x14ac:dyDescent="0.25">
      <c r="A20" s="128"/>
      <c r="B20" s="754">
        <v>45994</v>
      </c>
      <c r="C20" s="758" t="s">
        <v>508</v>
      </c>
      <c r="D20" s="756"/>
      <c r="E20" s="757">
        <v>600000</v>
      </c>
      <c r="F20" s="753">
        <v>0.03</v>
      </c>
      <c r="G20" s="583">
        <f t="shared" si="0"/>
        <v>18000</v>
      </c>
      <c r="I20" s="183"/>
      <c r="J20" s="188"/>
      <c r="K20" s="133"/>
      <c r="L20" s="189"/>
      <c r="M20" s="190"/>
      <c r="N20" s="187"/>
      <c r="O20" s="421">
        <f t="shared" si="1"/>
        <v>0</v>
      </c>
      <c r="P20" s="130"/>
      <c r="Q20" s="174"/>
      <c r="R20" s="174"/>
      <c r="S20" s="180"/>
      <c r="T20" s="177">
        <f t="shared" si="4"/>
        <v>1</v>
      </c>
      <c r="U20" s="181"/>
      <c r="V20" s="179"/>
      <c r="W20" s="423">
        <f t="shared" si="3"/>
        <v>0</v>
      </c>
      <c r="Y20" s="434"/>
      <c r="Z20" s="435">
        <f>IF('Closed Transactions'!A17="", "",'Closed Transactions'!A17)</f>
        <v>45910</v>
      </c>
      <c r="AA20" s="436">
        <f t="shared" si="2"/>
        <v>9</v>
      </c>
      <c r="AB20" s="171" t="str">
        <f>IF('Closed Transactions'!F17="","",'Closed Transactions'!F17)</f>
        <v>Ashleigh Verma &amp; Tapinder Garcha</v>
      </c>
      <c r="AC20" s="437" t="str">
        <f>IF(AND('Closed Transactions'!B17="",'Closed Transactions'!C17=""),"",IF('Closed Transactions'!B17="","Sell","Buy"))</f>
        <v>Sell</v>
      </c>
      <c r="AD20" s="172">
        <f>'Closed Transactions'!I17</f>
        <v>770000</v>
      </c>
      <c r="AE20" s="438">
        <f>IF('Closed Transactions'!J17="","",'Closed Transactions'!J17)</f>
        <v>0.02</v>
      </c>
      <c r="AF20" s="173">
        <f>IF('Closed Transactions'!K17="","", 'Closed Transactions'!K17)</f>
        <v>15400</v>
      </c>
      <c r="AG20" s="131"/>
    </row>
    <row r="21" spans="1:33" ht="18" thickTop="1" thickBot="1" x14ac:dyDescent="0.25">
      <c r="A21" s="128"/>
      <c r="B21" s="754">
        <v>45995</v>
      </c>
      <c r="C21" s="758" t="s">
        <v>492</v>
      </c>
      <c r="D21" s="756"/>
      <c r="E21" s="757">
        <v>750000</v>
      </c>
      <c r="F21" s="753">
        <v>0.03</v>
      </c>
      <c r="G21" s="583">
        <f t="shared" si="0"/>
        <v>22500</v>
      </c>
      <c r="I21" s="183"/>
      <c r="J21" s="188"/>
      <c r="K21" s="133"/>
      <c r="L21" s="189"/>
      <c r="M21" s="190"/>
      <c r="N21" s="187"/>
      <c r="O21" s="421">
        <f t="shared" si="1"/>
        <v>0</v>
      </c>
      <c r="P21" s="130"/>
      <c r="Q21" s="174"/>
      <c r="R21" s="174"/>
      <c r="S21" s="180"/>
      <c r="T21" s="177">
        <f t="shared" si="4"/>
        <v>1</v>
      </c>
      <c r="U21" s="181"/>
      <c r="V21" s="179"/>
      <c r="W21" s="423">
        <f t="shared" si="3"/>
        <v>0</v>
      </c>
      <c r="Y21" s="434"/>
      <c r="Z21" s="435">
        <f>IF('Closed Transactions'!A18="", "",'Closed Transactions'!A18)</f>
        <v>45920</v>
      </c>
      <c r="AA21" s="436">
        <f t="shared" si="2"/>
        <v>9</v>
      </c>
      <c r="AB21" s="171" t="str">
        <f>IF('Closed Transactions'!F18="","",'Closed Transactions'!F18)</f>
        <v>Cintia Samaha Desnoyers</v>
      </c>
      <c r="AC21" s="437" t="str">
        <f>IF(AND('Closed Transactions'!B18="",'Closed Transactions'!C18=""),"",IF('Closed Transactions'!B18="","Sell","Buy"))</f>
        <v>Sell</v>
      </c>
      <c r="AD21" s="172">
        <f>'Closed Transactions'!I18</f>
        <v>2400</v>
      </c>
      <c r="AE21" s="438">
        <f>IF('Closed Transactions'!J18="","",'Closed Transactions'!J18)</f>
        <v>0</v>
      </c>
      <c r="AF21" s="173">
        <f>IF('Closed Transactions'!K18="","", 'Closed Transactions'!K18)</f>
        <v>0</v>
      </c>
      <c r="AG21" s="131"/>
    </row>
    <row r="22" spans="1:33" ht="18" thickTop="1" thickBot="1" x14ac:dyDescent="0.25">
      <c r="A22" s="128"/>
      <c r="B22" s="754">
        <v>45995</v>
      </c>
      <c r="C22" s="758" t="s">
        <v>520</v>
      </c>
      <c r="D22" s="756"/>
      <c r="E22" s="757">
        <v>750000</v>
      </c>
      <c r="F22" s="753">
        <v>0.03</v>
      </c>
      <c r="G22" s="583">
        <f t="shared" si="0"/>
        <v>22500</v>
      </c>
      <c r="I22" s="183"/>
      <c r="J22" s="188"/>
      <c r="K22" s="133"/>
      <c r="L22" s="189"/>
      <c r="M22" s="190"/>
      <c r="N22" s="187"/>
      <c r="O22" s="421">
        <f t="shared" ref="O22:O35" si="5">N22*M22</f>
        <v>0</v>
      </c>
      <c r="P22" s="130"/>
      <c r="Q22" s="174"/>
      <c r="R22" s="174"/>
      <c r="S22" s="180"/>
      <c r="T22" s="177">
        <f t="shared" si="4"/>
        <v>1</v>
      </c>
      <c r="U22" s="181"/>
      <c r="V22" s="179"/>
      <c r="W22" s="423">
        <f t="shared" si="3"/>
        <v>0</v>
      </c>
      <c r="Y22" s="434"/>
      <c r="Z22" s="435">
        <f>IF('Closed Transactions'!A19="", "",'Closed Transactions'!A19)</f>
        <v>45981</v>
      </c>
      <c r="AA22" s="436">
        <f t="shared" si="2"/>
        <v>11</v>
      </c>
      <c r="AB22" s="171" t="str">
        <f>IF('Closed Transactions'!F19="","",'Closed Transactions'!F19)</f>
        <v>Noel Contreras</v>
      </c>
      <c r="AC22" s="437" t="str">
        <f>IF(AND('Closed Transactions'!B19="",'Closed Transactions'!C19=""),"",IF('Closed Transactions'!B19="","Sell","Buy"))</f>
        <v>Sell</v>
      </c>
      <c r="AD22" s="172">
        <f>'Closed Transactions'!I19</f>
        <v>1500</v>
      </c>
      <c r="AE22" s="438">
        <f>IF('Closed Transactions'!J19="","",'Closed Transactions'!J19)</f>
        <v>0</v>
      </c>
      <c r="AF22" s="173">
        <f>IF('Closed Transactions'!K19="","", 'Closed Transactions'!K19)</f>
        <v>0</v>
      </c>
      <c r="AG22" s="131"/>
    </row>
    <row r="23" spans="1:33" ht="18" thickTop="1" thickBot="1" x14ac:dyDescent="0.25">
      <c r="A23" s="128"/>
      <c r="B23" s="754">
        <v>45995</v>
      </c>
      <c r="C23" s="758" t="s">
        <v>547</v>
      </c>
      <c r="D23" s="756"/>
      <c r="E23" s="757">
        <v>350000</v>
      </c>
      <c r="F23" s="753">
        <v>0.03</v>
      </c>
      <c r="G23" s="583">
        <f t="shared" si="0"/>
        <v>10500</v>
      </c>
      <c r="I23" s="183"/>
      <c r="J23" s="188"/>
      <c r="K23" s="133"/>
      <c r="L23" s="189"/>
      <c r="M23" s="190"/>
      <c r="N23" s="187"/>
      <c r="O23" s="421">
        <f t="shared" si="5"/>
        <v>0</v>
      </c>
      <c r="P23" s="130"/>
      <c r="Q23" s="174"/>
      <c r="R23" s="174"/>
      <c r="S23" s="180"/>
      <c r="T23" s="177">
        <f t="shared" si="4"/>
        <v>1</v>
      </c>
      <c r="U23" s="181"/>
      <c r="V23" s="179"/>
      <c r="W23" s="423">
        <f t="shared" si="3"/>
        <v>0</v>
      </c>
      <c r="Y23" s="434"/>
      <c r="Z23" s="435" t="str">
        <f>IF('Closed Transactions'!A20="", "",'Closed Transactions'!A20)</f>
        <v/>
      </c>
      <c r="AA23" s="436" t="e">
        <f t="shared" si="2"/>
        <v>#VALUE!</v>
      </c>
      <c r="AB23" s="171" t="str">
        <f>IF('Closed Transactions'!F20="","",'Closed Transactions'!F20)</f>
        <v/>
      </c>
      <c r="AC23" s="437" t="str">
        <f>IF(AND('Closed Transactions'!B20="",'Closed Transactions'!C20=""),"",IF('Closed Transactions'!B20="","Sell","Buy"))</f>
        <v/>
      </c>
      <c r="AD23" s="172">
        <f>'Closed Transactions'!I20</f>
        <v>0</v>
      </c>
      <c r="AE23" s="438" t="str">
        <f>IF('Closed Transactions'!J20="","",'Closed Transactions'!J20)</f>
        <v/>
      </c>
      <c r="AF23" s="173" t="str">
        <f>IF('Closed Transactions'!K20="","", 'Closed Transactions'!K20)</f>
        <v/>
      </c>
      <c r="AG23" s="131"/>
    </row>
    <row r="24" spans="1:33" ht="18" thickTop="1" thickBot="1" x14ac:dyDescent="0.25">
      <c r="A24" s="128"/>
      <c r="B24" s="754">
        <v>45995</v>
      </c>
      <c r="C24" s="758" t="s">
        <v>546</v>
      </c>
      <c r="D24" s="756"/>
      <c r="E24" s="757">
        <v>550000</v>
      </c>
      <c r="F24" s="753">
        <v>0.03</v>
      </c>
      <c r="G24" s="583">
        <f t="shared" si="0"/>
        <v>16500</v>
      </c>
      <c r="I24" s="183"/>
      <c r="J24" s="188"/>
      <c r="K24" s="133"/>
      <c r="L24" s="189"/>
      <c r="M24" s="190"/>
      <c r="N24" s="187"/>
      <c r="O24" s="421">
        <f t="shared" si="5"/>
        <v>0</v>
      </c>
      <c r="P24" s="130"/>
      <c r="Q24" s="174"/>
      <c r="R24" s="174"/>
      <c r="S24" s="180"/>
      <c r="T24" s="177">
        <f t="shared" si="4"/>
        <v>1</v>
      </c>
      <c r="U24" s="181"/>
      <c r="V24" s="179"/>
      <c r="W24" s="423">
        <f t="shared" si="3"/>
        <v>0</v>
      </c>
      <c r="Y24" s="434"/>
      <c r="Z24" s="435" t="str">
        <f>IF('Closed Transactions'!A21="", "",'Closed Transactions'!A21)</f>
        <v/>
      </c>
      <c r="AA24" s="436" t="e">
        <f t="shared" si="2"/>
        <v>#VALUE!</v>
      </c>
      <c r="AB24" s="171" t="str">
        <f>IF('Closed Transactions'!F21="","",'Closed Transactions'!F21)</f>
        <v/>
      </c>
      <c r="AC24" s="437" t="str">
        <f>IF(AND('Closed Transactions'!B21="",'Closed Transactions'!C21=""),"",IF('Closed Transactions'!B21="","Sell","Buy"))</f>
        <v/>
      </c>
      <c r="AD24" s="172">
        <f>'Closed Transactions'!I21</f>
        <v>0</v>
      </c>
      <c r="AE24" s="438" t="str">
        <f>IF('Closed Transactions'!J21="","",'Closed Transactions'!J21)</f>
        <v/>
      </c>
      <c r="AF24" s="173" t="str">
        <f>IF('Closed Transactions'!K21="","", 'Closed Transactions'!K21)</f>
        <v/>
      </c>
      <c r="AG24" s="131"/>
    </row>
    <row r="25" spans="1:33" ht="18" thickTop="1" thickBot="1" x14ac:dyDescent="0.25">
      <c r="A25" s="128"/>
      <c r="B25" s="754">
        <v>45995</v>
      </c>
      <c r="C25" s="758" t="s">
        <v>512</v>
      </c>
      <c r="D25" s="756"/>
      <c r="E25" s="757">
        <v>550000</v>
      </c>
      <c r="F25" s="753">
        <v>0.03</v>
      </c>
      <c r="G25" s="583">
        <f t="shared" si="0"/>
        <v>16500</v>
      </c>
      <c r="I25" s="183"/>
      <c r="J25" s="188"/>
      <c r="K25" s="133"/>
      <c r="L25" s="189"/>
      <c r="M25" s="190"/>
      <c r="N25" s="187"/>
      <c r="O25" s="421">
        <f t="shared" si="5"/>
        <v>0</v>
      </c>
      <c r="P25" s="130"/>
      <c r="Q25" s="174"/>
      <c r="R25" s="174"/>
      <c r="S25" s="180"/>
      <c r="T25" s="177">
        <f t="shared" si="4"/>
        <v>1</v>
      </c>
      <c r="U25" s="181"/>
      <c r="V25" s="179"/>
      <c r="W25" s="423">
        <f t="shared" si="3"/>
        <v>0</v>
      </c>
      <c r="Y25" s="434"/>
      <c r="Z25" s="435" t="str">
        <f>IF('Closed Transactions'!A22="", "",'Closed Transactions'!A22)</f>
        <v/>
      </c>
      <c r="AA25" s="436" t="e">
        <f t="shared" si="2"/>
        <v>#VALUE!</v>
      </c>
      <c r="AB25" s="171" t="str">
        <f>IF('Closed Transactions'!F22="","",'Closed Transactions'!F22)</f>
        <v/>
      </c>
      <c r="AC25" s="437" t="str">
        <f>IF(AND('Closed Transactions'!B22="",'Closed Transactions'!C22=""),"",IF('Closed Transactions'!B22="","Sell","Buy"))</f>
        <v/>
      </c>
      <c r="AD25" s="172">
        <f>'Closed Transactions'!I22</f>
        <v>0</v>
      </c>
      <c r="AE25" s="438" t="str">
        <f>IF('Closed Transactions'!J22="","",'Closed Transactions'!J22)</f>
        <v/>
      </c>
      <c r="AF25" s="173" t="str">
        <f>IF('Closed Transactions'!K22="","", 'Closed Transactions'!K22)</f>
        <v/>
      </c>
      <c r="AG25" s="131"/>
    </row>
    <row r="26" spans="1:33" ht="18" thickTop="1" thickBot="1" x14ac:dyDescent="0.25">
      <c r="A26" s="128"/>
      <c r="B26" s="754">
        <v>45995</v>
      </c>
      <c r="C26" s="758" t="s">
        <v>490</v>
      </c>
      <c r="D26" s="756"/>
      <c r="E26" s="757">
        <v>550000</v>
      </c>
      <c r="F26" s="753">
        <v>0.03</v>
      </c>
      <c r="G26" s="583">
        <f t="shared" si="0"/>
        <v>16500</v>
      </c>
      <c r="I26" s="183"/>
      <c r="J26" s="188"/>
      <c r="K26" s="133"/>
      <c r="L26" s="189"/>
      <c r="M26" s="190"/>
      <c r="N26" s="187"/>
      <c r="O26" s="421">
        <f t="shared" si="5"/>
        <v>0</v>
      </c>
      <c r="P26" s="130"/>
      <c r="Q26" s="174"/>
      <c r="R26" s="174"/>
      <c r="S26" s="180"/>
      <c r="T26" s="177">
        <f t="shared" si="4"/>
        <v>1</v>
      </c>
      <c r="U26" s="181"/>
      <c r="V26" s="179"/>
      <c r="W26" s="423">
        <f t="shared" si="3"/>
        <v>0</v>
      </c>
      <c r="Y26" s="434"/>
      <c r="Z26" s="435" t="str">
        <f>IF('Closed Transactions'!A23="", "",'Closed Transactions'!A23)</f>
        <v/>
      </c>
      <c r="AA26" s="436" t="e">
        <f t="shared" si="2"/>
        <v>#VALUE!</v>
      </c>
      <c r="AB26" s="171" t="str">
        <f>IF('Closed Transactions'!F23="","",'Closed Transactions'!F23)</f>
        <v/>
      </c>
      <c r="AC26" s="437" t="str">
        <f>IF(AND('Closed Transactions'!B23="",'Closed Transactions'!C23=""),"",IF('Closed Transactions'!B23="","Sell","Buy"))</f>
        <v/>
      </c>
      <c r="AD26" s="172">
        <f>'Closed Transactions'!I23</f>
        <v>0</v>
      </c>
      <c r="AE26" s="438" t="str">
        <f>IF('Closed Transactions'!J23="","",'Closed Transactions'!J23)</f>
        <v/>
      </c>
      <c r="AF26" s="173" t="str">
        <f>IF('Closed Transactions'!K23="","", 'Closed Transactions'!K23)</f>
        <v/>
      </c>
      <c r="AG26" s="131"/>
    </row>
    <row r="27" spans="1:33" ht="18" thickTop="1" thickBot="1" x14ac:dyDescent="0.25">
      <c r="A27" s="128"/>
      <c r="B27" s="754">
        <v>45995</v>
      </c>
      <c r="C27" s="758" t="s">
        <v>506</v>
      </c>
      <c r="D27" s="756"/>
      <c r="E27" s="757">
        <v>500000</v>
      </c>
      <c r="F27" s="753">
        <v>0.03</v>
      </c>
      <c r="G27" s="583">
        <f t="shared" si="0"/>
        <v>15000</v>
      </c>
      <c r="I27" s="183"/>
      <c r="J27" s="188"/>
      <c r="K27" s="133"/>
      <c r="L27" s="189"/>
      <c r="M27" s="190"/>
      <c r="N27" s="187"/>
      <c r="O27" s="421">
        <f t="shared" si="5"/>
        <v>0</v>
      </c>
      <c r="P27" s="130"/>
      <c r="Q27" s="174"/>
      <c r="R27" s="174"/>
      <c r="S27" s="180"/>
      <c r="T27" s="177">
        <f t="shared" si="4"/>
        <v>1</v>
      </c>
      <c r="U27" s="181"/>
      <c r="V27" s="179"/>
      <c r="W27" s="423">
        <f t="shared" si="3"/>
        <v>0</v>
      </c>
      <c r="Y27" s="434"/>
      <c r="Z27" s="435" t="str">
        <f>IF('Closed Transactions'!A24="", "",'Closed Transactions'!A24)</f>
        <v/>
      </c>
      <c r="AA27" s="436" t="e">
        <f t="shared" si="2"/>
        <v>#VALUE!</v>
      </c>
      <c r="AB27" s="171" t="str">
        <f>IF('Closed Transactions'!F24="","",'Closed Transactions'!F24)</f>
        <v/>
      </c>
      <c r="AC27" s="437" t="str">
        <f>IF(AND('Closed Transactions'!B24="",'Closed Transactions'!C24=""),"",IF('Closed Transactions'!B24="","Sell","Buy"))</f>
        <v/>
      </c>
      <c r="AD27" s="172">
        <f>'Closed Transactions'!I24</f>
        <v>0</v>
      </c>
      <c r="AE27" s="438" t="str">
        <f>IF('Closed Transactions'!J24="","",'Closed Transactions'!J24)</f>
        <v/>
      </c>
      <c r="AF27" s="173" t="str">
        <f>IF('Closed Transactions'!K24="","", 'Closed Transactions'!K24)</f>
        <v/>
      </c>
      <c r="AG27" s="131"/>
    </row>
    <row r="28" spans="1:33" ht="18" thickTop="1" thickBot="1" x14ac:dyDescent="0.25">
      <c r="A28" s="128"/>
      <c r="B28" s="754">
        <v>45995</v>
      </c>
      <c r="C28" s="758" t="s">
        <v>516</v>
      </c>
      <c r="D28" s="756"/>
      <c r="E28" s="757">
        <v>750000</v>
      </c>
      <c r="F28" s="753">
        <v>0.03</v>
      </c>
      <c r="G28" s="583">
        <f t="shared" si="0"/>
        <v>22500</v>
      </c>
      <c r="I28" s="183"/>
      <c r="J28" s="188"/>
      <c r="K28" s="133"/>
      <c r="L28" s="189"/>
      <c r="M28" s="190"/>
      <c r="N28" s="187"/>
      <c r="O28" s="421">
        <f t="shared" si="5"/>
        <v>0</v>
      </c>
      <c r="P28" s="130"/>
      <c r="Q28" s="174"/>
      <c r="R28" s="174"/>
      <c r="S28" s="180"/>
      <c r="T28" s="177">
        <f t="shared" si="4"/>
        <v>1</v>
      </c>
      <c r="U28" s="181"/>
      <c r="V28" s="179"/>
      <c r="W28" s="423">
        <f t="shared" si="3"/>
        <v>0</v>
      </c>
      <c r="Y28" s="434"/>
      <c r="Z28" s="435" t="str">
        <f>IF('Closed Transactions'!A25="", "",'Closed Transactions'!A25)</f>
        <v/>
      </c>
      <c r="AA28" s="436" t="e">
        <f t="shared" si="2"/>
        <v>#VALUE!</v>
      </c>
      <c r="AB28" s="171" t="str">
        <f>IF('Closed Transactions'!F25="","",'Closed Transactions'!F25)</f>
        <v/>
      </c>
      <c r="AC28" s="437" t="str">
        <f>IF(AND('Closed Transactions'!B25="",'Closed Transactions'!C25=""),"",IF('Closed Transactions'!B25="","Sell","Buy"))</f>
        <v/>
      </c>
      <c r="AD28" s="172">
        <f>'Closed Transactions'!I25</f>
        <v>0</v>
      </c>
      <c r="AE28" s="438" t="str">
        <f>IF('Closed Transactions'!J25="","",'Closed Transactions'!J25)</f>
        <v/>
      </c>
      <c r="AF28" s="173" t="str">
        <f>IF('Closed Transactions'!K25="","", 'Closed Transactions'!K25)</f>
        <v/>
      </c>
      <c r="AG28" s="131"/>
    </row>
    <row r="29" spans="1:33" ht="18" thickTop="1" thickBot="1" x14ac:dyDescent="0.25">
      <c r="A29" s="128"/>
      <c r="B29" s="754">
        <v>45995</v>
      </c>
      <c r="C29" s="758" t="s">
        <v>571</v>
      </c>
      <c r="D29" s="756"/>
      <c r="E29" s="757">
        <v>750000</v>
      </c>
      <c r="F29" s="753">
        <v>0.03</v>
      </c>
      <c r="G29" s="583">
        <f t="shared" si="0"/>
        <v>22500</v>
      </c>
      <c r="I29" s="183"/>
      <c r="J29" s="188"/>
      <c r="K29" s="133"/>
      <c r="L29" s="189"/>
      <c r="M29" s="190"/>
      <c r="N29" s="187"/>
      <c r="O29" s="421">
        <f t="shared" si="5"/>
        <v>0</v>
      </c>
      <c r="P29" s="130"/>
      <c r="Q29" s="174"/>
      <c r="R29" s="174"/>
      <c r="S29" s="180"/>
      <c r="T29" s="177">
        <f t="shared" si="4"/>
        <v>1</v>
      </c>
      <c r="U29" s="181"/>
      <c r="V29" s="179"/>
      <c r="W29" s="423">
        <f t="shared" si="3"/>
        <v>0</v>
      </c>
      <c r="Y29" s="434"/>
      <c r="Z29" s="435" t="str">
        <f>IF('Closed Transactions'!A26="", "",'Closed Transactions'!A26)</f>
        <v/>
      </c>
      <c r="AA29" s="436" t="e">
        <f t="shared" si="2"/>
        <v>#VALUE!</v>
      </c>
      <c r="AB29" s="171" t="str">
        <f>IF('Closed Transactions'!F26="","",'Closed Transactions'!F26)</f>
        <v/>
      </c>
      <c r="AC29" s="437" t="str">
        <f>IF(AND('Closed Transactions'!B26="",'Closed Transactions'!C26=""),"",IF('Closed Transactions'!B26="","Sell","Buy"))</f>
        <v/>
      </c>
      <c r="AD29" s="172">
        <f>'Closed Transactions'!I26</f>
        <v>0</v>
      </c>
      <c r="AE29" s="438" t="str">
        <f>IF('Closed Transactions'!J26="","",'Closed Transactions'!J26)</f>
        <v/>
      </c>
      <c r="AF29" s="173" t="str">
        <f>IF('Closed Transactions'!K26="","", 'Closed Transactions'!K26)</f>
        <v/>
      </c>
      <c r="AG29" s="131"/>
    </row>
    <row r="30" spans="1:33" ht="18" thickTop="1" thickBot="1" x14ac:dyDescent="0.25">
      <c r="A30" s="128"/>
      <c r="B30" s="754">
        <v>45996</v>
      </c>
      <c r="C30" s="758" t="s">
        <v>509</v>
      </c>
      <c r="D30" s="756"/>
      <c r="E30" s="757">
        <v>550000</v>
      </c>
      <c r="F30" s="753">
        <v>0.03</v>
      </c>
      <c r="G30" s="583">
        <f t="shared" si="0"/>
        <v>16500</v>
      </c>
      <c r="I30" s="183"/>
      <c r="J30" s="188"/>
      <c r="K30" s="133"/>
      <c r="L30" s="189"/>
      <c r="M30" s="190"/>
      <c r="N30" s="187"/>
      <c r="O30" s="421">
        <f t="shared" si="5"/>
        <v>0</v>
      </c>
      <c r="P30" s="130"/>
      <c r="Q30" s="174"/>
      <c r="R30" s="174"/>
      <c r="S30" s="180"/>
      <c r="T30" s="177">
        <f t="shared" si="4"/>
        <v>1</v>
      </c>
      <c r="U30" s="181"/>
      <c r="V30" s="179"/>
      <c r="W30" s="423">
        <f t="shared" si="3"/>
        <v>0</v>
      </c>
      <c r="Y30" s="434"/>
      <c r="Z30" s="435" t="str">
        <f>IF('Closed Transactions'!A27="", "",'Closed Transactions'!A27)</f>
        <v/>
      </c>
      <c r="AA30" s="436" t="e">
        <f t="shared" si="2"/>
        <v>#VALUE!</v>
      </c>
      <c r="AB30" s="171" t="str">
        <f>IF('Closed Transactions'!F27="","",'Closed Transactions'!F27)</f>
        <v/>
      </c>
      <c r="AC30" s="437" t="str">
        <f>IF(AND('Closed Transactions'!B27="",'Closed Transactions'!C27=""),"",IF('Closed Transactions'!B27="","Sell","Buy"))</f>
        <v/>
      </c>
      <c r="AD30" s="172">
        <f>'Closed Transactions'!I27</f>
        <v>0</v>
      </c>
      <c r="AE30" s="438" t="str">
        <f>IF('Closed Transactions'!J27="","",'Closed Transactions'!J27)</f>
        <v/>
      </c>
      <c r="AF30" s="173" t="str">
        <f>IF('Closed Transactions'!K27="","", 'Closed Transactions'!K27)</f>
        <v/>
      </c>
      <c r="AG30" s="131"/>
    </row>
    <row r="31" spans="1:33" ht="18" thickTop="1" thickBot="1" x14ac:dyDescent="0.25">
      <c r="A31" s="128"/>
      <c r="B31" s="754">
        <v>45996</v>
      </c>
      <c r="C31" s="758" t="s">
        <v>510</v>
      </c>
      <c r="D31" s="756"/>
      <c r="E31" s="757">
        <v>450000</v>
      </c>
      <c r="F31" s="753">
        <v>7.4999999999999997E-3</v>
      </c>
      <c r="G31" s="583">
        <f t="shared" si="0"/>
        <v>3375</v>
      </c>
      <c r="I31" s="183"/>
      <c r="J31" s="188"/>
      <c r="K31" s="133"/>
      <c r="L31" s="189"/>
      <c r="M31" s="190"/>
      <c r="N31" s="187"/>
      <c r="O31" s="421">
        <f t="shared" si="5"/>
        <v>0</v>
      </c>
      <c r="P31" s="130"/>
      <c r="Q31" s="174"/>
      <c r="R31" s="174"/>
      <c r="S31" s="180"/>
      <c r="T31" s="177">
        <f t="shared" si="4"/>
        <v>1</v>
      </c>
      <c r="U31" s="181"/>
      <c r="V31" s="179"/>
      <c r="W31" s="423">
        <f t="shared" si="3"/>
        <v>0</v>
      </c>
      <c r="Y31" s="434"/>
      <c r="Z31" s="435" t="str">
        <f>IF('Closed Transactions'!A28="", "",'Closed Transactions'!A28)</f>
        <v/>
      </c>
      <c r="AA31" s="436" t="e">
        <f t="shared" si="2"/>
        <v>#VALUE!</v>
      </c>
      <c r="AB31" s="171" t="str">
        <f>IF('Closed Transactions'!F28="","",'Closed Transactions'!F28)</f>
        <v/>
      </c>
      <c r="AC31" s="437" t="str">
        <f>IF(AND('Closed Transactions'!B28="",'Closed Transactions'!C28=""),"",IF('Closed Transactions'!B28="","Sell","Buy"))</f>
        <v/>
      </c>
      <c r="AD31" s="172">
        <f>'Closed Transactions'!I28</f>
        <v>0</v>
      </c>
      <c r="AE31" s="438" t="str">
        <f>IF('Closed Transactions'!J28="","",'Closed Transactions'!J28)</f>
        <v/>
      </c>
      <c r="AF31" s="173" t="str">
        <f>IF('Closed Transactions'!K28="","", 'Closed Transactions'!K28)</f>
        <v/>
      </c>
      <c r="AG31" s="131"/>
    </row>
    <row r="32" spans="1:33" ht="18" thickTop="1" thickBot="1" x14ac:dyDescent="0.25">
      <c r="A32" s="128"/>
      <c r="B32" s="754">
        <v>45996</v>
      </c>
      <c r="C32" s="758" t="s">
        <v>499</v>
      </c>
      <c r="D32" s="756"/>
      <c r="E32" s="757">
        <v>1800000</v>
      </c>
      <c r="F32" s="753">
        <v>0.03</v>
      </c>
      <c r="G32" s="583">
        <f t="shared" si="0"/>
        <v>54000</v>
      </c>
      <c r="I32" s="183"/>
      <c r="J32" s="188"/>
      <c r="K32" s="133"/>
      <c r="L32" s="189"/>
      <c r="M32" s="190"/>
      <c r="N32" s="187"/>
      <c r="O32" s="421">
        <f t="shared" si="5"/>
        <v>0</v>
      </c>
      <c r="P32" s="130"/>
      <c r="Q32" s="174"/>
      <c r="R32" s="174"/>
      <c r="S32" s="180"/>
      <c r="T32" s="177">
        <f t="shared" si="4"/>
        <v>1</v>
      </c>
      <c r="U32" s="181"/>
      <c r="V32" s="179"/>
      <c r="W32" s="423">
        <f t="shared" si="3"/>
        <v>0</v>
      </c>
      <c r="Y32" s="434"/>
      <c r="Z32" s="435" t="str">
        <f>IF('Closed Transactions'!A29="", "",'Closed Transactions'!A29)</f>
        <v/>
      </c>
      <c r="AA32" s="436" t="e">
        <f t="shared" si="2"/>
        <v>#VALUE!</v>
      </c>
      <c r="AB32" s="171" t="str">
        <f>IF('Closed Transactions'!F29="","",'Closed Transactions'!F29)</f>
        <v/>
      </c>
      <c r="AC32" s="437" t="str">
        <f>IF(AND('Closed Transactions'!B29="",'Closed Transactions'!C29=""),"",IF('Closed Transactions'!B29="","Sell","Buy"))</f>
        <v/>
      </c>
      <c r="AD32" s="172">
        <f>'Closed Transactions'!I29</f>
        <v>0</v>
      </c>
      <c r="AE32" s="438" t="str">
        <f>IF('Closed Transactions'!J29="","",'Closed Transactions'!J29)</f>
        <v/>
      </c>
      <c r="AF32" s="173" t="str">
        <f>IF('Closed Transactions'!K29="","", 'Closed Transactions'!K29)</f>
        <v/>
      </c>
      <c r="AG32" s="131"/>
    </row>
    <row r="33" spans="1:33" ht="18" thickTop="1" thickBot="1" x14ac:dyDescent="0.25">
      <c r="A33" s="128"/>
      <c r="B33" s="754">
        <v>45999</v>
      </c>
      <c r="C33" s="758" t="s">
        <v>588</v>
      </c>
      <c r="D33" s="756"/>
      <c r="E33" s="757">
        <v>550000</v>
      </c>
      <c r="F33" s="753">
        <v>0.03</v>
      </c>
      <c r="G33" s="583">
        <f t="shared" si="0"/>
        <v>16500</v>
      </c>
      <c r="I33" s="183"/>
      <c r="J33" s="188"/>
      <c r="K33" s="133"/>
      <c r="L33" s="189"/>
      <c r="M33" s="190"/>
      <c r="N33" s="187"/>
      <c r="O33" s="421">
        <f t="shared" si="5"/>
        <v>0</v>
      </c>
      <c r="P33" s="130"/>
      <c r="Q33" s="174"/>
      <c r="R33" s="174"/>
      <c r="S33" s="180"/>
      <c r="T33" s="177">
        <f t="shared" si="4"/>
        <v>1</v>
      </c>
      <c r="U33" s="181"/>
      <c r="V33" s="179"/>
      <c r="W33" s="423">
        <f t="shared" si="3"/>
        <v>0</v>
      </c>
      <c r="Y33" s="434"/>
      <c r="Z33" s="435" t="str">
        <f>IF('Closed Transactions'!A30="", "",'Closed Transactions'!A30)</f>
        <v/>
      </c>
      <c r="AA33" s="436" t="e">
        <f t="shared" si="2"/>
        <v>#VALUE!</v>
      </c>
      <c r="AB33" s="171" t="str">
        <f>IF('Closed Transactions'!F30="","",'Closed Transactions'!F30)</f>
        <v/>
      </c>
      <c r="AC33" s="437" t="str">
        <f>IF(AND('Closed Transactions'!B30="",'Closed Transactions'!C30=""),"",IF('Closed Transactions'!B30="","Sell","Buy"))</f>
        <v/>
      </c>
      <c r="AD33" s="172">
        <f>'Closed Transactions'!I30</f>
        <v>0</v>
      </c>
      <c r="AE33" s="438" t="str">
        <f>IF('Closed Transactions'!J30="","",'Closed Transactions'!J30)</f>
        <v/>
      </c>
      <c r="AF33" s="173" t="str">
        <f>IF('Closed Transactions'!K30="","", 'Closed Transactions'!K30)</f>
        <v/>
      </c>
      <c r="AG33" s="131"/>
    </row>
    <row r="34" spans="1:33" ht="18" thickTop="1" thickBot="1" x14ac:dyDescent="0.25">
      <c r="A34" s="128"/>
      <c r="B34" s="754">
        <v>45999</v>
      </c>
      <c r="C34" s="758" t="s">
        <v>549</v>
      </c>
      <c r="D34" s="756"/>
      <c r="E34" s="757">
        <v>750000</v>
      </c>
      <c r="F34" s="753">
        <v>0.03</v>
      </c>
      <c r="G34" s="583">
        <f t="shared" si="0"/>
        <v>22500</v>
      </c>
      <c r="I34" s="183"/>
      <c r="J34" s="188"/>
      <c r="K34" s="133"/>
      <c r="L34" s="189"/>
      <c r="M34" s="190"/>
      <c r="N34" s="187"/>
      <c r="O34" s="421">
        <f t="shared" si="5"/>
        <v>0</v>
      </c>
      <c r="P34" s="130"/>
      <c r="Q34" s="634"/>
      <c r="R34" s="634"/>
      <c r="S34" s="635"/>
      <c r="T34" s="636">
        <f t="shared" si="4"/>
        <v>1</v>
      </c>
      <c r="U34" s="637"/>
      <c r="V34" s="179"/>
      <c r="W34" s="423">
        <f t="shared" si="3"/>
        <v>0</v>
      </c>
      <c r="Y34" s="434"/>
      <c r="Z34" s="435" t="str">
        <f>IF('Closed Transactions'!A31="", "",'Closed Transactions'!A31)</f>
        <v/>
      </c>
      <c r="AA34" s="436" t="e">
        <f t="shared" si="2"/>
        <v>#VALUE!</v>
      </c>
      <c r="AB34" s="171" t="str">
        <f>IF('Closed Transactions'!F31="","",'Closed Transactions'!F31)</f>
        <v/>
      </c>
      <c r="AC34" s="437" t="str">
        <f>IF(AND('Closed Transactions'!B31="",'Closed Transactions'!C31=""),"",IF('Closed Transactions'!B31="","Sell","Buy"))</f>
        <v/>
      </c>
      <c r="AD34" s="172">
        <f>'Closed Transactions'!I31</f>
        <v>0</v>
      </c>
      <c r="AE34" s="438" t="str">
        <f>IF('Closed Transactions'!J31="","",'Closed Transactions'!J31)</f>
        <v/>
      </c>
      <c r="AF34" s="173" t="str">
        <f>IF('Closed Transactions'!K31="","", 'Closed Transactions'!K31)</f>
        <v/>
      </c>
      <c r="AG34" s="131"/>
    </row>
    <row r="35" spans="1:33" ht="21" thickTop="1" thickBot="1" x14ac:dyDescent="0.3">
      <c r="A35" s="128"/>
      <c r="B35" s="754">
        <v>46000</v>
      </c>
      <c r="C35" s="758" t="s">
        <v>550</v>
      </c>
      <c r="D35" s="756"/>
      <c r="E35" s="757">
        <v>1200000</v>
      </c>
      <c r="F35" s="753">
        <v>0.03</v>
      </c>
      <c r="G35" s="583">
        <f t="shared" si="0"/>
        <v>36000</v>
      </c>
      <c r="I35" s="183"/>
      <c r="J35" s="188"/>
      <c r="K35" s="133"/>
      <c r="L35" s="189"/>
      <c r="M35" s="190"/>
      <c r="N35" s="187"/>
      <c r="O35" s="421">
        <f t="shared" si="5"/>
        <v>0</v>
      </c>
      <c r="P35" s="130"/>
      <c r="Q35" s="806" t="s">
        <v>357</v>
      </c>
      <c r="R35" s="807"/>
      <c r="S35" s="807"/>
      <c r="T35" s="807"/>
      <c r="U35" s="807"/>
      <c r="V35" s="807"/>
      <c r="W35" s="638">
        <f>SUM(W6:W34)</f>
        <v>0</v>
      </c>
      <c r="Y35" s="434"/>
      <c r="Z35" s="435" t="str">
        <f>IF('Closed Transactions'!A32="", "",'Closed Transactions'!A32)</f>
        <v/>
      </c>
      <c r="AA35" s="436" t="e">
        <f t="shared" si="2"/>
        <v>#VALUE!</v>
      </c>
      <c r="AB35" s="171" t="str">
        <f>IF('Closed Transactions'!F32="","",'Closed Transactions'!F32)</f>
        <v/>
      </c>
      <c r="AC35" s="437" t="str">
        <f>IF(AND('Closed Transactions'!B32="",'Closed Transactions'!C32=""),"",IF('Closed Transactions'!B32="","Sell","Buy"))</f>
        <v/>
      </c>
      <c r="AD35" s="172">
        <f>'Closed Transactions'!I32</f>
        <v>0</v>
      </c>
      <c r="AE35" s="438" t="str">
        <f>IF('Closed Transactions'!J32="","",'Closed Transactions'!J32)</f>
        <v/>
      </c>
      <c r="AF35" s="173" t="str">
        <f>IF('Closed Transactions'!K32="","", 'Closed Transactions'!K32)</f>
        <v/>
      </c>
      <c r="AG35" s="131"/>
    </row>
    <row r="36" spans="1:33" ht="24.75" customHeight="1" thickTop="1" thickBot="1" x14ac:dyDescent="0.25">
      <c r="A36" s="128"/>
      <c r="B36" s="754">
        <v>46000</v>
      </c>
      <c r="C36" s="758" t="s">
        <v>527</v>
      </c>
      <c r="D36" s="756"/>
      <c r="E36" s="757">
        <v>500000</v>
      </c>
      <c r="F36" s="753">
        <v>7.4999999999999997E-3</v>
      </c>
      <c r="G36" s="583">
        <f t="shared" si="0"/>
        <v>3750</v>
      </c>
      <c r="I36" s="802" t="s">
        <v>206</v>
      </c>
      <c r="J36" s="802"/>
      <c r="K36" s="802"/>
      <c r="L36" s="802"/>
      <c r="M36" s="802"/>
      <c r="N36" s="802"/>
      <c r="O36" s="803"/>
      <c r="Q36" s="804" t="s">
        <v>203</v>
      </c>
      <c r="R36" s="804"/>
      <c r="S36" s="804"/>
      <c r="T36" s="804"/>
      <c r="U36" s="804"/>
      <c r="V36" s="804"/>
      <c r="W36" s="805"/>
      <c r="Y36" s="434"/>
      <c r="Z36" s="435" t="str">
        <f>IF('Closed Transactions'!A33="", "",'Closed Transactions'!A33)</f>
        <v/>
      </c>
      <c r="AA36" s="436" t="e">
        <f t="shared" si="2"/>
        <v>#VALUE!</v>
      </c>
      <c r="AB36" s="171" t="str">
        <f>IF('Closed Transactions'!F33="","",'Closed Transactions'!F33)</f>
        <v/>
      </c>
      <c r="AC36" s="437" t="str">
        <f>IF(AND('Closed Transactions'!B33="",'Closed Transactions'!C33=""),"",IF('Closed Transactions'!B33="","Sell","Buy"))</f>
        <v/>
      </c>
      <c r="AD36" s="172">
        <f>'Closed Transactions'!I33</f>
        <v>0</v>
      </c>
      <c r="AE36" s="438" t="str">
        <f>IF('Closed Transactions'!J33="","",'Closed Transactions'!J33)</f>
        <v/>
      </c>
      <c r="AF36" s="173" t="str">
        <f>IF('Closed Transactions'!K33="","", 'Closed Transactions'!K33)</f>
        <v/>
      </c>
      <c r="AG36" s="131"/>
    </row>
    <row r="37" spans="1:33" ht="24.75" customHeight="1" thickTop="1" thickBot="1" x14ac:dyDescent="0.25">
      <c r="A37" s="128"/>
      <c r="B37" s="754">
        <v>46000</v>
      </c>
      <c r="C37" s="758" t="s">
        <v>503</v>
      </c>
      <c r="D37" s="756"/>
      <c r="E37" s="757">
        <v>400000</v>
      </c>
      <c r="F37" s="753">
        <v>0.03</v>
      </c>
      <c r="G37" s="583">
        <f t="shared" si="0"/>
        <v>12000</v>
      </c>
      <c r="I37" s="802"/>
      <c r="J37" s="802"/>
      <c r="K37" s="802"/>
      <c r="L37" s="802"/>
      <c r="M37" s="802"/>
      <c r="N37" s="802"/>
      <c r="O37" s="803"/>
      <c r="Q37" s="804"/>
      <c r="R37" s="804"/>
      <c r="S37" s="804"/>
      <c r="T37" s="804"/>
      <c r="U37" s="804"/>
      <c r="V37" s="804"/>
      <c r="W37" s="805"/>
      <c r="Y37" s="434"/>
      <c r="Z37" s="435" t="str">
        <f>IF('Closed Transactions'!A34="", "",'Closed Transactions'!A34)</f>
        <v/>
      </c>
      <c r="AA37" s="436" t="e">
        <f t="shared" si="2"/>
        <v>#VALUE!</v>
      </c>
      <c r="AB37" s="171" t="str">
        <f>IF('Closed Transactions'!F34="","",'Closed Transactions'!F34)</f>
        <v/>
      </c>
      <c r="AC37" s="437" t="str">
        <f>IF(AND('Closed Transactions'!B34="",'Closed Transactions'!C34=""),"",IF('Closed Transactions'!B34="","Sell","Buy"))</f>
        <v/>
      </c>
      <c r="AD37" s="172">
        <f>'Closed Transactions'!I34</f>
        <v>0</v>
      </c>
      <c r="AE37" s="438" t="str">
        <f>IF('Closed Transactions'!J34="","",'Closed Transactions'!J34)</f>
        <v/>
      </c>
      <c r="AF37" s="173" t="str">
        <f>IF('Closed Transactions'!K34="","", 'Closed Transactions'!K34)</f>
        <v/>
      </c>
      <c r="AG37" s="131"/>
    </row>
    <row r="38" spans="1:33" ht="24.75" customHeight="1" thickTop="1" thickBot="1" x14ac:dyDescent="0.25">
      <c r="A38" s="128"/>
      <c r="B38" s="754">
        <v>46000</v>
      </c>
      <c r="C38" s="758" t="s">
        <v>594</v>
      </c>
      <c r="D38" s="756"/>
      <c r="E38" s="757">
        <v>650000</v>
      </c>
      <c r="F38" s="753">
        <v>0.03</v>
      </c>
      <c r="G38" s="583">
        <f t="shared" ref="G38:G59" si="6">E38*F38</f>
        <v>19500</v>
      </c>
      <c r="I38" s="598"/>
      <c r="J38" s="598" t="s">
        <v>4</v>
      </c>
      <c r="K38" s="598" t="s">
        <v>135</v>
      </c>
      <c r="L38" s="599" t="s">
        <v>136</v>
      </c>
      <c r="M38" s="600" t="s">
        <v>341</v>
      </c>
      <c r="N38" s="601" t="s">
        <v>138</v>
      </c>
      <c r="O38" s="602" t="s">
        <v>342</v>
      </c>
      <c r="Q38" s="604" t="s">
        <v>135</v>
      </c>
      <c r="R38" s="604" t="s">
        <v>204</v>
      </c>
      <c r="S38" s="603" t="s">
        <v>150</v>
      </c>
      <c r="T38" s="603" t="s">
        <v>325</v>
      </c>
      <c r="U38" s="603" t="s">
        <v>140</v>
      </c>
      <c r="V38" s="603" t="s">
        <v>138</v>
      </c>
      <c r="W38" s="606" t="s">
        <v>343</v>
      </c>
      <c r="Y38" s="434"/>
      <c r="Z38" s="435" t="str">
        <f>IF('Closed Transactions'!A35="", "",'Closed Transactions'!A35)</f>
        <v/>
      </c>
      <c r="AA38" s="436" t="e">
        <f t="shared" si="2"/>
        <v>#VALUE!</v>
      </c>
      <c r="AB38" s="171" t="str">
        <f>IF('Closed Transactions'!F35="","",'Closed Transactions'!F35)</f>
        <v/>
      </c>
      <c r="AC38" s="437" t="str">
        <f>IF(AND('Closed Transactions'!B35="",'Closed Transactions'!C35=""),"",IF('Closed Transactions'!B35="","Sell","Buy"))</f>
        <v/>
      </c>
      <c r="AD38" s="172">
        <f>'Closed Transactions'!I35</f>
        <v>0</v>
      </c>
      <c r="AE38" s="438" t="str">
        <f>IF('Closed Transactions'!J35="","",'Closed Transactions'!J35)</f>
        <v/>
      </c>
      <c r="AF38" s="173" t="str">
        <f>IF('Closed Transactions'!K35="","", 'Closed Transactions'!K35)</f>
        <v/>
      </c>
      <c r="AG38" s="131"/>
    </row>
    <row r="39" spans="1:33" ht="18" thickTop="1" thickBot="1" x14ac:dyDescent="0.25">
      <c r="A39" s="128"/>
      <c r="B39" s="754">
        <v>46001</v>
      </c>
      <c r="C39" s="758" t="s">
        <v>504</v>
      </c>
      <c r="D39" s="756"/>
      <c r="E39" s="757">
        <v>350000</v>
      </c>
      <c r="F39" s="753">
        <v>0.03</v>
      </c>
      <c r="G39" s="583">
        <f t="shared" si="6"/>
        <v>10500</v>
      </c>
      <c r="I39" s="192"/>
      <c r="J39" s="188">
        <v>46001</v>
      </c>
      <c r="K39" s="193" t="s">
        <v>566</v>
      </c>
      <c r="L39" s="133"/>
      <c r="M39" s="189">
        <v>700000</v>
      </c>
      <c r="N39" s="179">
        <v>0.03</v>
      </c>
      <c r="O39" s="421">
        <f>N39*M39</f>
        <v>21000</v>
      </c>
      <c r="Q39" s="174"/>
      <c r="R39" s="174"/>
      <c r="S39" s="180"/>
      <c r="T39" s="177">
        <f t="shared" ref="T39:T66" si="7">MONTH(S39)</f>
        <v>1</v>
      </c>
      <c r="U39" s="181"/>
      <c r="V39" s="179"/>
      <c r="W39" s="423">
        <f t="shared" ref="W39:W66" si="8">U39*V39</f>
        <v>0</v>
      </c>
      <c r="Y39" s="434"/>
      <c r="Z39" s="435" t="str">
        <f>IF('Closed Transactions'!A36="", "",'Closed Transactions'!A36)</f>
        <v/>
      </c>
      <c r="AA39" s="436" t="e">
        <f t="shared" si="2"/>
        <v>#VALUE!</v>
      </c>
      <c r="AB39" s="171" t="str">
        <f>IF('Closed Transactions'!F36="","",'Closed Transactions'!F36)</f>
        <v/>
      </c>
      <c r="AC39" s="437" t="str">
        <f>IF(AND('Closed Transactions'!B36="",'Closed Transactions'!C36=""),"",IF('Closed Transactions'!B36="","Sell","Buy"))</f>
        <v/>
      </c>
      <c r="AD39" s="172">
        <f>'Closed Transactions'!I36</f>
        <v>0</v>
      </c>
      <c r="AE39" s="438" t="str">
        <f>IF('Closed Transactions'!J36="","",'Closed Transactions'!J36)</f>
        <v/>
      </c>
      <c r="AF39" s="173" t="str">
        <f>IF('Closed Transactions'!K36="","", 'Closed Transactions'!K36)</f>
        <v/>
      </c>
      <c r="AG39" s="131"/>
    </row>
    <row r="40" spans="1:33" ht="18" thickTop="1" thickBot="1" x14ac:dyDescent="0.25">
      <c r="A40" s="128"/>
      <c r="B40" s="754">
        <v>46001</v>
      </c>
      <c r="C40" s="758" t="s">
        <v>572</v>
      </c>
      <c r="D40" s="756"/>
      <c r="E40" s="757">
        <v>600000</v>
      </c>
      <c r="F40" s="753">
        <v>0.03</v>
      </c>
      <c r="G40" s="583">
        <f t="shared" si="6"/>
        <v>18000</v>
      </c>
      <c r="I40" s="192"/>
      <c r="J40" s="188"/>
      <c r="K40" s="193"/>
      <c r="L40" s="133"/>
      <c r="M40" s="189"/>
      <c r="N40" s="179"/>
      <c r="O40" s="421">
        <f t="shared" ref="O40:O67" si="9">N40*M40</f>
        <v>0</v>
      </c>
      <c r="Q40" s="174"/>
      <c r="R40" s="174"/>
      <c r="S40" s="180"/>
      <c r="T40" s="177">
        <f t="shared" si="7"/>
        <v>1</v>
      </c>
      <c r="U40" s="181"/>
      <c r="V40" s="179"/>
      <c r="W40" s="423">
        <f t="shared" si="8"/>
        <v>0</v>
      </c>
      <c r="Y40" s="434"/>
      <c r="Z40" s="435" t="str">
        <f>IF('Closed Transactions'!A37="", "",'Closed Transactions'!A37)</f>
        <v/>
      </c>
      <c r="AA40" s="436" t="e">
        <f t="shared" si="2"/>
        <v>#VALUE!</v>
      </c>
      <c r="AB40" s="171" t="str">
        <f>IF('Closed Transactions'!F37="","",'Closed Transactions'!F37)</f>
        <v/>
      </c>
      <c r="AC40" s="437" t="str">
        <f>IF(AND('Closed Transactions'!B37="",'Closed Transactions'!C37=""),"",IF('Closed Transactions'!B37="","Sell","Buy"))</f>
        <v/>
      </c>
      <c r="AD40" s="172">
        <f>'Closed Transactions'!I37</f>
        <v>0</v>
      </c>
      <c r="AE40" s="438" t="str">
        <f>IF('Closed Transactions'!J37="","",'Closed Transactions'!J37)</f>
        <v/>
      </c>
      <c r="AF40" s="173" t="str">
        <f>IF('Closed Transactions'!K37="","", 'Closed Transactions'!K37)</f>
        <v/>
      </c>
      <c r="AG40" s="131"/>
    </row>
    <row r="41" spans="1:33" ht="18" thickTop="1" thickBot="1" x14ac:dyDescent="0.25">
      <c r="A41" s="128"/>
      <c r="B41" s="754">
        <v>46001</v>
      </c>
      <c r="C41" s="758" t="s">
        <v>502</v>
      </c>
      <c r="D41" s="756"/>
      <c r="E41" s="757">
        <v>1600000</v>
      </c>
      <c r="F41" s="753">
        <v>0.03</v>
      </c>
      <c r="G41" s="583">
        <f t="shared" si="6"/>
        <v>48000</v>
      </c>
      <c r="I41" s="192"/>
      <c r="J41" s="188"/>
      <c r="K41" s="193"/>
      <c r="L41" s="133"/>
      <c r="M41" s="189"/>
      <c r="N41" s="179"/>
      <c r="O41" s="421">
        <f t="shared" si="9"/>
        <v>0</v>
      </c>
      <c r="Q41" s="174"/>
      <c r="R41" s="174"/>
      <c r="S41" s="180"/>
      <c r="T41" s="177">
        <f t="shared" si="7"/>
        <v>1</v>
      </c>
      <c r="U41" s="181"/>
      <c r="V41" s="179"/>
      <c r="W41" s="423">
        <f t="shared" si="8"/>
        <v>0</v>
      </c>
      <c r="Y41" s="434"/>
      <c r="Z41" s="435" t="str">
        <f>IF('Closed Transactions'!A38="", "",'Closed Transactions'!A38)</f>
        <v/>
      </c>
      <c r="AA41" s="436" t="e">
        <f t="shared" si="2"/>
        <v>#VALUE!</v>
      </c>
      <c r="AB41" s="171" t="str">
        <f>IF('Closed Transactions'!F38="","",'Closed Transactions'!F38)</f>
        <v/>
      </c>
      <c r="AC41" s="437" t="str">
        <f>IF(AND('Closed Transactions'!B38="",'Closed Transactions'!C38=""),"",IF('Closed Transactions'!B38="","Sell","Buy"))</f>
        <v/>
      </c>
      <c r="AD41" s="172">
        <f>'Closed Transactions'!I38</f>
        <v>0</v>
      </c>
      <c r="AE41" s="438" t="str">
        <f>IF('Closed Transactions'!J38="","",'Closed Transactions'!J38)</f>
        <v/>
      </c>
      <c r="AF41" s="173" t="str">
        <f>IF('Closed Transactions'!K38="","", 'Closed Transactions'!K38)</f>
        <v/>
      </c>
      <c r="AG41" s="131"/>
    </row>
    <row r="42" spans="1:33" ht="18" thickTop="1" thickBot="1" x14ac:dyDescent="0.25">
      <c r="A42" s="128"/>
      <c r="B42" s="754">
        <v>46001</v>
      </c>
      <c r="C42" s="758" t="s">
        <v>592</v>
      </c>
      <c r="D42" s="756"/>
      <c r="E42" s="757">
        <v>500000</v>
      </c>
      <c r="F42" s="753">
        <v>0.03</v>
      </c>
      <c r="G42" s="583">
        <f t="shared" si="6"/>
        <v>15000</v>
      </c>
      <c r="I42" s="192"/>
      <c r="J42" s="188"/>
      <c r="K42" s="193"/>
      <c r="L42" s="133"/>
      <c r="M42" s="189"/>
      <c r="N42" s="179"/>
      <c r="O42" s="421">
        <f t="shared" si="9"/>
        <v>0</v>
      </c>
      <c r="Q42" s="174"/>
      <c r="R42" s="174"/>
      <c r="S42" s="180"/>
      <c r="T42" s="177">
        <f t="shared" si="7"/>
        <v>1</v>
      </c>
      <c r="U42" s="181"/>
      <c r="V42" s="179"/>
      <c r="W42" s="423">
        <f t="shared" si="8"/>
        <v>0</v>
      </c>
      <c r="Y42" s="434"/>
      <c r="Z42" s="435" t="str">
        <f>IF('Closed Transactions'!A39="", "",'Closed Transactions'!A39)</f>
        <v/>
      </c>
      <c r="AA42" s="436" t="e">
        <f t="shared" si="2"/>
        <v>#VALUE!</v>
      </c>
      <c r="AB42" s="171" t="str">
        <f>IF('Closed Transactions'!F39="","",'Closed Transactions'!F39)</f>
        <v/>
      </c>
      <c r="AC42" s="437" t="str">
        <f>IF(AND('Closed Transactions'!B39="",'Closed Transactions'!C39=""),"",IF('Closed Transactions'!B39="","Sell","Buy"))</f>
        <v/>
      </c>
      <c r="AD42" s="172">
        <f>'Closed Transactions'!I39</f>
        <v>0</v>
      </c>
      <c r="AE42" s="438" t="str">
        <f>IF('Closed Transactions'!J39="","",'Closed Transactions'!J39)</f>
        <v/>
      </c>
      <c r="AF42" s="173" t="str">
        <f>IF('Closed Transactions'!K39="","", 'Closed Transactions'!K39)</f>
        <v/>
      </c>
      <c r="AG42" s="131"/>
    </row>
    <row r="43" spans="1:33" ht="18" thickTop="1" thickBot="1" x14ac:dyDescent="0.25">
      <c r="A43" s="128"/>
      <c r="B43" s="754">
        <v>46002</v>
      </c>
      <c r="C43" s="758" t="s">
        <v>581</v>
      </c>
      <c r="D43" s="756"/>
      <c r="E43" s="757">
        <v>550000</v>
      </c>
      <c r="F43" s="753">
        <v>0.03</v>
      </c>
      <c r="G43" s="583">
        <f t="shared" si="6"/>
        <v>16500</v>
      </c>
      <c r="I43" s="192"/>
      <c r="J43" s="188"/>
      <c r="K43" s="193"/>
      <c r="L43" s="133"/>
      <c r="M43" s="189"/>
      <c r="N43" s="179"/>
      <c r="O43" s="421">
        <f t="shared" si="9"/>
        <v>0</v>
      </c>
      <c r="Q43" s="174"/>
      <c r="R43" s="174"/>
      <c r="S43" s="180"/>
      <c r="T43" s="177">
        <f t="shared" si="7"/>
        <v>1</v>
      </c>
      <c r="U43" s="181"/>
      <c r="V43" s="179"/>
      <c r="W43" s="423">
        <f t="shared" si="8"/>
        <v>0</v>
      </c>
      <c r="Y43" s="434"/>
      <c r="Z43" s="435" t="str">
        <f>IF('Closed Transactions'!A40="", "",'Closed Transactions'!A40)</f>
        <v/>
      </c>
      <c r="AA43" s="436" t="e">
        <f t="shared" si="2"/>
        <v>#VALUE!</v>
      </c>
      <c r="AB43" s="171" t="str">
        <f>IF('Closed Transactions'!F40="","",'Closed Transactions'!F40)</f>
        <v/>
      </c>
      <c r="AC43" s="437" t="str">
        <f>IF(AND('Closed Transactions'!B40="",'Closed Transactions'!C40=""),"",IF('Closed Transactions'!B40="","Sell","Buy"))</f>
        <v/>
      </c>
      <c r="AD43" s="172">
        <f>'Closed Transactions'!I40</f>
        <v>0</v>
      </c>
      <c r="AE43" s="438" t="str">
        <f>IF('Closed Transactions'!J40="","",'Closed Transactions'!J40)</f>
        <v/>
      </c>
      <c r="AF43" s="173" t="str">
        <f>IF('Closed Transactions'!K40="","", 'Closed Transactions'!K40)</f>
        <v/>
      </c>
      <c r="AG43" s="131"/>
    </row>
    <row r="44" spans="1:33" ht="18" thickTop="1" thickBot="1" x14ac:dyDescent="0.25">
      <c r="A44" s="128"/>
      <c r="B44" s="754">
        <v>46002</v>
      </c>
      <c r="C44" s="758" t="s">
        <v>496</v>
      </c>
      <c r="D44" s="756"/>
      <c r="E44" s="757">
        <v>500000</v>
      </c>
      <c r="F44" s="753">
        <v>0.03</v>
      </c>
      <c r="G44" s="583">
        <f t="shared" si="6"/>
        <v>15000</v>
      </c>
      <c r="I44" s="192"/>
      <c r="J44" s="188"/>
      <c r="K44" s="193"/>
      <c r="L44" s="133"/>
      <c r="M44" s="189"/>
      <c r="N44" s="179"/>
      <c r="O44" s="421">
        <f t="shared" si="9"/>
        <v>0</v>
      </c>
      <c r="Q44" s="174"/>
      <c r="R44" s="174"/>
      <c r="S44" s="180"/>
      <c r="T44" s="177">
        <f t="shared" si="7"/>
        <v>1</v>
      </c>
      <c r="U44" s="181"/>
      <c r="V44" s="179"/>
      <c r="W44" s="423">
        <f t="shared" si="8"/>
        <v>0</v>
      </c>
      <c r="Y44" s="434"/>
      <c r="Z44" s="435" t="str">
        <f>IF('Closed Transactions'!A41="", "",'Closed Transactions'!A41)</f>
        <v/>
      </c>
      <c r="AA44" s="436" t="e">
        <f t="shared" si="2"/>
        <v>#VALUE!</v>
      </c>
      <c r="AB44" s="171" t="str">
        <f>IF('Closed Transactions'!F41="","",'Closed Transactions'!F41)</f>
        <v/>
      </c>
      <c r="AC44" s="437" t="str">
        <f>IF(AND('Closed Transactions'!B41="",'Closed Transactions'!C41=""),"",IF('Closed Transactions'!B41="","Sell","Buy"))</f>
        <v/>
      </c>
      <c r="AD44" s="172">
        <f>'Closed Transactions'!I41</f>
        <v>0</v>
      </c>
      <c r="AE44" s="438" t="str">
        <f>IF('Closed Transactions'!J41="","",'Closed Transactions'!J41)</f>
        <v/>
      </c>
      <c r="AF44" s="173" t="str">
        <f>IF('Closed Transactions'!K41="","", 'Closed Transactions'!K41)</f>
        <v/>
      </c>
      <c r="AG44" s="131"/>
    </row>
    <row r="45" spans="1:33" ht="18" thickTop="1" thickBot="1" x14ac:dyDescent="0.25">
      <c r="A45" s="128"/>
      <c r="B45" s="754">
        <v>46003</v>
      </c>
      <c r="C45" s="758" t="s">
        <v>524</v>
      </c>
      <c r="D45" s="756"/>
      <c r="E45" s="757">
        <v>700000</v>
      </c>
      <c r="F45" s="753">
        <v>0.03</v>
      </c>
      <c r="G45" s="583">
        <f t="shared" si="6"/>
        <v>21000</v>
      </c>
      <c r="I45" s="192"/>
      <c r="J45" s="188"/>
      <c r="K45" s="193"/>
      <c r="L45" s="133"/>
      <c r="M45" s="189"/>
      <c r="N45" s="179"/>
      <c r="O45" s="421">
        <f t="shared" si="9"/>
        <v>0</v>
      </c>
      <c r="Q45" s="174"/>
      <c r="R45" s="174"/>
      <c r="S45" s="180"/>
      <c r="T45" s="177">
        <f t="shared" si="7"/>
        <v>1</v>
      </c>
      <c r="U45" s="181"/>
      <c r="V45" s="179"/>
      <c r="W45" s="423">
        <f t="shared" si="8"/>
        <v>0</v>
      </c>
      <c r="Y45" s="434"/>
      <c r="Z45" s="435" t="str">
        <f>IF('Closed Transactions'!A42="", "",'Closed Transactions'!A42)</f>
        <v/>
      </c>
      <c r="AA45" s="436" t="e">
        <f t="shared" si="2"/>
        <v>#VALUE!</v>
      </c>
      <c r="AB45" s="171" t="str">
        <f>IF('Closed Transactions'!F42="","",'Closed Transactions'!F42)</f>
        <v/>
      </c>
      <c r="AC45" s="437" t="str">
        <f>IF(AND('Closed Transactions'!B42="",'Closed Transactions'!C42=""),"",IF('Closed Transactions'!B42="","Sell","Buy"))</f>
        <v/>
      </c>
      <c r="AD45" s="172">
        <f>'Closed Transactions'!I42</f>
        <v>0</v>
      </c>
      <c r="AE45" s="438" t="str">
        <f>IF('Closed Transactions'!J42="","",'Closed Transactions'!J42)</f>
        <v/>
      </c>
      <c r="AF45" s="173" t="str">
        <f>IF('Closed Transactions'!K42="","", 'Closed Transactions'!K42)</f>
        <v/>
      </c>
      <c r="AG45" s="131"/>
    </row>
    <row r="46" spans="1:33" ht="18" thickTop="1" thickBot="1" x14ac:dyDescent="0.25">
      <c r="A46" s="128"/>
      <c r="B46" s="754">
        <v>46003</v>
      </c>
      <c r="C46" s="758" t="s">
        <v>498</v>
      </c>
      <c r="D46" s="756"/>
      <c r="E46" s="757">
        <v>450000</v>
      </c>
      <c r="F46" s="753">
        <v>0.03</v>
      </c>
      <c r="G46" s="583">
        <f t="shared" si="6"/>
        <v>13500</v>
      </c>
      <c r="I46" s="192"/>
      <c r="J46" s="188"/>
      <c r="K46" s="193"/>
      <c r="L46" s="133"/>
      <c r="M46" s="189"/>
      <c r="N46" s="179"/>
      <c r="O46" s="421">
        <f t="shared" si="9"/>
        <v>0</v>
      </c>
      <c r="Q46" s="174"/>
      <c r="R46" s="174"/>
      <c r="S46" s="180"/>
      <c r="T46" s="177">
        <f t="shared" si="7"/>
        <v>1</v>
      </c>
      <c r="U46" s="181"/>
      <c r="V46" s="179"/>
      <c r="W46" s="423">
        <f t="shared" si="8"/>
        <v>0</v>
      </c>
      <c r="Y46" s="434"/>
      <c r="Z46" s="435" t="str">
        <f>IF('Closed Transactions'!A43="", "",'Closed Transactions'!A43)</f>
        <v/>
      </c>
      <c r="AA46" s="436" t="e">
        <f t="shared" si="2"/>
        <v>#VALUE!</v>
      </c>
      <c r="AB46" s="171" t="str">
        <f>IF('Closed Transactions'!F43="","",'Closed Transactions'!F43)</f>
        <v/>
      </c>
      <c r="AC46" s="437" t="str">
        <f>IF(AND('Closed Transactions'!B43="",'Closed Transactions'!C43=""),"",IF('Closed Transactions'!B43="","Sell","Buy"))</f>
        <v/>
      </c>
      <c r="AD46" s="172">
        <f>'Closed Transactions'!I43</f>
        <v>0</v>
      </c>
      <c r="AE46" s="438" t="str">
        <f>IF('Closed Transactions'!J43="","",'Closed Transactions'!J43)</f>
        <v/>
      </c>
      <c r="AF46" s="173" t="str">
        <f>IF('Closed Transactions'!K43="","", 'Closed Transactions'!K43)</f>
        <v/>
      </c>
      <c r="AG46" s="131"/>
    </row>
    <row r="47" spans="1:33" ht="18" thickTop="1" thickBot="1" x14ac:dyDescent="0.25">
      <c r="A47" s="128"/>
      <c r="B47" s="754">
        <v>46003</v>
      </c>
      <c r="C47" s="758" t="s">
        <v>589</v>
      </c>
      <c r="D47" s="756"/>
      <c r="E47" s="757">
        <v>1250000</v>
      </c>
      <c r="F47" s="753">
        <v>0.03</v>
      </c>
      <c r="G47" s="583">
        <f t="shared" si="6"/>
        <v>37500</v>
      </c>
      <c r="I47" s="192"/>
      <c r="J47" s="188"/>
      <c r="K47" s="193"/>
      <c r="L47" s="133"/>
      <c r="M47" s="189"/>
      <c r="N47" s="179"/>
      <c r="O47" s="421">
        <f t="shared" si="9"/>
        <v>0</v>
      </c>
      <c r="Q47" s="174"/>
      <c r="R47" s="174"/>
      <c r="S47" s="180"/>
      <c r="T47" s="177">
        <f t="shared" si="7"/>
        <v>1</v>
      </c>
      <c r="U47" s="181"/>
      <c r="V47" s="179"/>
      <c r="W47" s="423">
        <f t="shared" si="8"/>
        <v>0</v>
      </c>
      <c r="Y47" s="434"/>
      <c r="Z47" s="435" t="str">
        <f>IF('Closed Transactions'!A44="", "",'Closed Transactions'!A44)</f>
        <v/>
      </c>
      <c r="AA47" s="436" t="e">
        <f t="shared" si="2"/>
        <v>#VALUE!</v>
      </c>
      <c r="AB47" s="171" t="str">
        <f>IF('Closed Transactions'!F44="","",'Closed Transactions'!F44)</f>
        <v/>
      </c>
      <c r="AC47" s="437" t="str">
        <f>IF(AND('Closed Transactions'!B44="",'Closed Transactions'!C44=""),"",IF('Closed Transactions'!B44="","Sell","Buy"))</f>
        <v/>
      </c>
      <c r="AD47" s="172">
        <f>'Closed Transactions'!I44</f>
        <v>0</v>
      </c>
      <c r="AE47" s="438" t="str">
        <f>IF('Closed Transactions'!J44="","",'Closed Transactions'!J44)</f>
        <v/>
      </c>
      <c r="AF47" s="173" t="str">
        <f>IF('Closed Transactions'!K44="","", 'Closed Transactions'!K44)</f>
        <v/>
      </c>
      <c r="AG47" s="131"/>
    </row>
    <row r="48" spans="1:33" ht="18" thickTop="1" thickBot="1" x14ac:dyDescent="0.25">
      <c r="A48" s="128"/>
      <c r="B48" s="754">
        <v>46003</v>
      </c>
      <c r="C48" s="758" t="s">
        <v>518</v>
      </c>
      <c r="D48" s="756"/>
      <c r="E48" s="757">
        <v>350000</v>
      </c>
      <c r="F48" s="753">
        <v>0.03</v>
      </c>
      <c r="G48" s="583">
        <f t="shared" si="6"/>
        <v>10500</v>
      </c>
      <c r="I48" s="192"/>
      <c r="J48" s="188"/>
      <c r="K48" s="193"/>
      <c r="L48" s="133"/>
      <c r="M48" s="189"/>
      <c r="N48" s="179"/>
      <c r="O48" s="421">
        <f t="shared" si="9"/>
        <v>0</v>
      </c>
      <c r="Q48" s="174"/>
      <c r="R48" s="174"/>
      <c r="S48" s="180"/>
      <c r="T48" s="177">
        <f t="shared" si="7"/>
        <v>1</v>
      </c>
      <c r="U48" s="181"/>
      <c r="V48" s="179"/>
      <c r="W48" s="423">
        <f t="shared" si="8"/>
        <v>0</v>
      </c>
      <c r="Y48" s="434"/>
      <c r="Z48" s="435" t="str">
        <f>IF('Closed Transactions'!A45="", "",'Closed Transactions'!A45)</f>
        <v/>
      </c>
      <c r="AA48" s="436" t="e">
        <f t="shared" si="2"/>
        <v>#VALUE!</v>
      </c>
      <c r="AB48" s="171" t="str">
        <f>IF('Closed Transactions'!F45="","",'Closed Transactions'!F45)</f>
        <v/>
      </c>
      <c r="AC48" s="437" t="str">
        <f>IF(AND('Closed Transactions'!B45="",'Closed Transactions'!C45=""),"",IF('Closed Transactions'!B45="","Sell","Buy"))</f>
        <v/>
      </c>
      <c r="AD48" s="172">
        <f>'Closed Transactions'!I45</f>
        <v>0</v>
      </c>
      <c r="AE48" s="438" t="str">
        <f>IF('Closed Transactions'!J45="","",'Closed Transactions'!J45)</f>
        <v/>
      </c>
      <c r="AF48" s="173" t="str">
        <f>IF('Closed Transactions'!K45="","", 'Closed Transactions'!K45)</f>
        <v/>
      </c>
      <c r="AG48" s="131"/>
    </row>
    <row r="49" spans="1:33" ht="18" thickTop="1" thickBot="1" x14ac:dyDescent="0.25">
      <c r="A49" s="128"/>
      <c r="B49" s="754">
        <v>46003</v>
      </c>
      <c r="C49" s="758" t="s">
        <v>521</v>
      </c>
      <c r="D49" s="756"/>
      <c r="E49" s="757">
        <v>400000</v>
      </c>
      <c r="F49" s="753">
        <v>0.03</v>
      </c>
      <c r="G49" s="583">
        <f t="shared" si="6"/>
        <v>12000</v>
      </c>
      <c r="I49" s="192"/>
      <c r="J49" s="188"/>
      <c r="K49" s="193"/>
      <c r="L49" s="133"/>
      <c r="M49" s="189"/>
      <c r="N49" s="179"/>
      <c r="O49" s="421">
        <f t="shared" si="9"/>
        <v>0</v>
      </c>
      <c r="Q49" s="174"/>
      <c r="R49" s="174"/>
      <c r="S49" s="180"/>
      <c r="T49" s="177">
        <f t="shared" si="7"/>
        <v>1</v>
      </c>
      <c r="U49" s="181"/>
      <c r="V49" s="179"/>
      <c r="W49" s="423">
        <f t="shared" si="8"/>
        <v>0</v>
      </c>
      <c r="Y49" s="434"/>
      <c r="Z49" s="435" t="str">
        <f>IF('Closed Transactions'!A46="", "",'Closed Transactions'!A46)</f>
        <v/>
      </c>
      <c r="AA49" s="436" t="e">
        <f t="shared" si="2"/>
        <v>#VALUE!</v>
      </c>
      <c r="AB49" s="171" t="str">
        <f>IF('Closed Transactions'!F46="","",'Closed Transactions'!F46)</f>
        <v/>
      </c>
      <c r="AC49" s="437" t="str">
        <f>IF(AND('Closed Transactions'!B46="",'Closed Transactions'!C46=""),"",IF('Closed Transactions'!B46="","Sell","Buy"))</f>
        <v/>
      </c>
      <c r="AD49" s="172">
        <f>'Closed Transactions'!I46</f>
        <v>0</v>
      </c>
      <c r="AE49" s="438" t="str">
        <f>IF('Closed Transactions'!J46="","",'Closed Transactions'!J46)</f>
        <v/>
      </c>
      <c r="AF49" s="173" t="str">
        <f>IF('Closed Transactions'!K46="","", 'Closed Transactions'!K46)</f>
        <v/>
      </c>
      <c r="AG49" s="131"/>
    </row>
    <row r="50" spans="1:33" ht="18" thickTop="1" thickBot="1" x14ac:dyDescent="0.25">
      <c r="A50" s="128"/>
      <c r="B50" s="754">
        <v>46003</v>
      </c>
      <c r="C50" s="758" t="s">
        <v>567</v>
      </c>
      <c r="D50" s="756"/>
      <c r="E50" s="757">
        <v>750000</v>
      </c>
      <c r="F50" s="753">
        <v>0.03</v>
      </c>
      <c r="G50" s="583">
        <f t="shared" si="6"/>
        <v>22500</v>
      </c>
      <c r="I50" s="192"/>
      <c r="J50" s="188"/>
      <c r="K50" s="193"/>
      <c r="L50" s="133"/>
      <c r="M50" s="189"/>
      <c r="N50" s="179"/>
      <c r="O50" s="421">
        <f t="shared" si="9"/>
        <v>0</v>
      </c>
      <c r="Q50" s="174"/>
      <c r="R50" s="174"/>
      <c r="S50" s="180"/>
      <c r="T50" s="177">
        <f t="shared" si="7"/>
        <v>1</v>
      </c>
      <c r="U50" s="181"/>
      <c r="V50" s="179"/>
      <c r="W50" s="423">
        <f t="shared" si="8"/>
        <v>0</v>
      </c>
      <c r="Y50" s="434"/>
      <c r="Z50" s="435" t="str">
        <f>IF('Closed Transactions'!A47="", "",'Closed Transactions'!A47)</f>
        <v/>
      </c>
      <c r="AA50" s="436" t="e">
        <f t="shared" si="2"/>
        <v>#VALUE!</v>
      </c>
      <c r="AB50" s="171" t="str">
        <f>IF('Closed Transactions'!F47="","",'Closed Transactions'!F47)</f>
        <v/>
      </c>
      <c r="AC50" s="437" t="str">
        <f>IF(AND('Closed Transactions'!B47="",'Closed Transactions'!C47=""),"",IF('Closed Transactions'!B47="","Sell","Buy"))</f>
        <v/>
      </c>
      <c r="AD50" s="172">
        <f>'Closed Transactions'!I47</f>
        <v>0</v>
      </c>
      <c r="AE50" s="438" t="str">
        <f>IF('Closed Transactions'!J47="","",'Closed Transactions'!J47)</f>
        <v/>
      </c>
      <c r="AF50" s="173" t="str">
        <f>IF('Closed Transactions'!K47="","", 'Closed Transactions'!K47)</f>
        <v/>
      </c>
      <c r="AG50" s="131"/>
    </row>
    <row r="51" spans="1:33" ht="18" thickTop="1" thickBot="1" x14ac:dyDescent="0.25">
      <c r="A51" s="128"/>
      <c r="B51" s="754">
        <v>46003</v>
      </c>
      <c r="C51" s="758" t="s">
        <v>513</v>
      </c>
      <c r="D51" s="756"/>
      <c r="E51" s="757">
        <v>500000</v>
      </c>
      <c r="F51" s="753">
        <v>0.03</v>
      </c>
      <c r="G51" s="583">
        <f t="shared" si="6"/>
        <v>15000</v>
      </c>
      <c r="I51" s="192"/>
      <c r="J51" s="188"/>
      <c r="K51" s="193"/>
      <c r="L51" s="133"/>
      <c r="M51" s="189"/>
      <c r="N51" s="179"/>
      <c r="O51" s="421">
        <f t="shared" si="9"/>
        <v>0</v>
      </c>
      <c r="Q51" s="174"/>
      <c r="R51" s="174"/>
      <c r="S51" s="180"/>
      <c r="T51" s="177">
        <f t="shared" si="7"/>
        <v>1</v>
      </c>
      <c r="U51" s="181"/>
      <c r="V51" s="179"/>
      <c r="W51" s="423">
        <f t="shared" si="8"/>
        <v>0</v>
      </c>
      <c r="Y51" s="434"/>
      <c r="Z51" s="435" t="str">
        <f>IF('Closed Transactions'!A48="", "",'Closed Transactions'!A48)</f>
        <v/>
      </c>
      <c r="AA51" s="436" t="e">
        <f t="shared" si="2"/>
        <v>#VALUE!</v>
      </c>
      <c r="AB51" s="171" t="str">
        <f>IF('Closed Transactions'!F48="","",'Closed Transactions'!F48)</f>
        <v/>
      </c>
      <c r="AC51" s="437" t="str">
        <f>IF(AND('Closed Transactions'!B48="",'Closed Transactions'!C48=""),"",IF('Closed Transactions'!B48="","Sell","Buy"))</f>
        <v/>
      </c>
      <c r="AD51" s="172">
        <f>'Closed Transactions'!I48</f>
        <v>0</v>
      </c>
      <c r="AE51" s="438" t="str">
        <f>IF('Closed Transactions'!J48="","",'Closed Transactions'!J48)</f>
        <v/>
      </c>
      <c r="AF51" s="173" t="str">
        <f>IF('Closed Transactions'!K48="","", 'Closed Transactions'!K48)</f>
        <v/>
      </c>
      <c r="AG51" s="131"/>
    </row>
    <row r="52" spans="1:33" ht="18" thickTop="1" thickBot="1" x14ac:dyDescent="0.25">
      <c r="A52" s="128"/>
      <c r="B52" s="754">
        <v>46003</v>
      </c>
      <c r="C52" s="758" t="s">
        <v>529</v>
      </c>
      <c r="D52" s="756"/>
      <c r="E52" s="757">
        <v>500000</v>
      </c>
      <c r="F52" s="753">
        <v>0.03</v>
      </c>
      <c r="G52" s="583">
        <f t="shared" si="6"/>
        <v>15000</v>
      </c>
      <c r="I52" s="192"/>
      <c r="J52" s="188"/>
      <c r="K52" s="193"/>
      <c r="L52" s="133"/>
      <c r="M52" s="189"/>
      <c r="N52" s="179"/>
      <c r="O52" s="421">
        <f t="shared" si="9"/>
        <v>0</v>
      </c>
      <c r="Q52" s="174"/>
      <c r="R52" s="174"/>
      <c r="S52" s="180"/>
      <c r="T52" s="177">
        <f t="shared" si="7"/>
        <v>1</v>
      </c>
      <c r="U52" s="181"/>
      <c r="V52" s="179"/>
      <c r="W52" s="423">
        <f t="shared" si="8"/>
        <v>0</v>
      </c>
      <c r="Y52" s="434"/>
      <c r="Z52" s="435" t="str">
        <f>IF('Closed Transactions'!A49="", "",'Closed Transactions'!A49)</f>
        <v/>
      </c>
      <c r="AA52" s="436" t="e">
        <f t="shared" si="2"/>
        <v>#VALUE!</v>
      </c>
      <c r="AB52" s="171" t="str">
        <f>IF('Closed Transactions'!F49="","",'Closed Transactions'!F49)</f>
        <v/>
      </c>
      <c r="AC52" s="437" t="str">
        <f>IF(AND('Closed Transactions'!B49="",'Closed Transactions'!C49=""),"",IF('Closed Transactions'!B49="","Sell","Buy"))</f>
        <v/>
      </c>
      <c r="AD52" s="172">
        <f>'Closed Transactions'!I49</f>
        <v>0</v>
      </c>
      <c r="AE52" s="438" t="str">
        <f>IF('Closed Transactions'!J49="","",'Closed Transactions'!J49)</f>
        <v/>
      </c>
      <c r="AF52" s="173" t="str">
        <f>IF('Closed Transactions'!K49="","", 'Closed Transactions'!K49)</f>
        <v/>
      </c>
      <c r="AG52" s="131"/>
    </row>
    <row r="53" spans="1:33" ht="18" thickTop="1" thickBot="1" x14ac:dyDescent="0.25">
      <c r="A53" s="128"/>
      <c r="B53" s="754">
        <v>46004</v>
      </c>
      <c r="C53" s="758" t="s">
        <v>568</v>
      </c>
      <c r="D53" s="756"/>
      <c r="E53" s="757">
        <v>750000</v>
      </c>
      <c r="F53" s="753">
        <v>0.03</v>
      </c>
      <c r="G53" s="583">
        <f t="shared" si="6"/>
        <v>22500</v>
      </c>
      <c r="I53" s="192"/>
      <c r="J53" s="188"/>
      <c r="K53" s="193"/>
      <c r="L53" s="133"/>
      <c r="M53" s="189"/>
      <c r="N53" s="179"/>
      <c r="O53" s="421">
        <f t="shared" si="9"/>
        <v>0</v>
      </c>
      <c r="Q53" s="174"/>
      <c r="R53" s="174"/>
      <c r="S53" s="180"/>
      <c r="T53" s="177">
        <f t="shared" si="7"/>
        <v>1</v>
      </c>
      <c r="U53" s="181"/>
      <c r="V53" s="179"/>
      <c r="W53" s="423">
        <f t="shared" si="8"/>
        <v>0</v>
      </c>
      <c r="Y53" s="434"/>
      <c r="Z53" s="435" t="str">
        <f>IF('Closed Transactions'!A50="", "",'Closed Transactions'!A50)</f>
        <v/>
      </c>
      <c r="AA53" s="436" t="e">
        <f t="shared" si="2"/>
        <v>#VALUE!</v>
      </c>
      <c r="AB53" s="171" t="str">
        <f>IF('Closed Transactions'!F50="","",'Closed Transactions'!F50)</f>
        <v/>
      </c>
      <c r="AC53" s="437" t="str">
        <f>IF(AND('Closed Transactions'!B50="",'Closed Transactions'!C50=""),"",IF('Closed Transactions'!B50="","Sell","Buy"))</f>
        <v/>
      </c>
      <c r="AD53" s="172">
        <f>'Closed Transactions'!I50</f>
        <v>0</v>
      </c>
      <c r="AE53" s="438" t="str">
        <f>IF('Closed Transactions'!J50="","",'Closed Transactions'!J50)</f>
        <v/>
      </c>
      <c r="AF53" s="173" t="str">
        <f>IF('Closed Transactions'!K50="","", 'Closed Transactions'!K50)</f>
        <v/>
      </c>
      <c r="AG53" s="131"/>
    </row>
    <row r="54" spans="1:33" ht="18" thickTop="1" thickBot="1" x14ac:dyDescent="0.25">
      <c r="A54" s="128"/>
      <c r="B54" s="754">
        <v>46006</v>
      </c>
      <c r="C54" s="758" t="s">
        <v>514</v>
      </c>
      <c r="D54" s="756"/>
      <c r="E54" s="757">
        <v>450000</v>
      </c>
      <c r="F54" s="753">
        <v>0.03</v>
      </c>
      <c r="G54" s="583">
        <f t="shared" si="6"/>
        <v>13500</v>
      </c>
      <c r="I54" s="192"/>
      <c r="J54" s="188"/>
      <c r="K54" s="193"/>
      <c r="L54" s="133"/>
      <c r="M54" s="189"/>
      <c r="N54" s="179"/>
      <c r="O54" s="421">
        <f t="shared" si="9"/>
        <v>0</v>
      </c>
      <c r="Q54" s="174"/>
      <c r="R54" s="174"/>
      <c r="S54" s="180"/>
      <c r="T54" s="177">
        <f t="shared" si="7"/>
        <v>1</v>
      </c>
      <c r="U54" s="181"/>
      <c r="V54" s="179"/>
      <c r="W54" s="423">
        <f t="shared" si="8"/>
        <v>0</v>
      </c>
      <c r="Y54" s="434"/>
      <c r="Z54" s="435" t="str">
        <f>IF('Closed Transactions'!A51="", "",'Closed Transactions'!A51)</f>
        <v/>
      </c>
      <c r="AA54" s="436" t="e">
        <f t="shared" si="2"/>
        <v>#VALUE!</v>
      </c>
      <c r="AB54" s="171" t="str">
        <f>IF('Closed Transactions'!F51="","",'Closed Transactions'!F51)</f>
        <v/>
      </c>
      <c r="AC54" s="437" t="str">
        <f>IF(AND('Closed Transactions'!B51="",'Closed Transactions'!C51=""),"",IF('Closed Transactions'!B51="","Sell","Buy"))</f>
        <v/>
      </c>
      <c r="AD54" s="172">
        <f>'Closed Transactions'!I51</f>
        <v>0</v>
      </c>
      <c r="AE54" s="438" t="str">
        <f>IF('Closed Transactions'!J51="","",'Closed Transactions'!J51)</f>
        <v/>
      </c>
      <c r="AF54" s="173" t="str">
        <f>IF('Closed Transactions'!K51="","", 'Closed Transactions'!K51)</f>
        <v/>
      </c>
      <c r="AG54" s="131"/>
    </row>
    <row r="55" spans="1:33" ht="18" thickTop="1" thickBot="1" x14ac:dyDescent="0.25">
      <c r="A55" s="128"/>
      <c r="B55" s="754">
        <v>46006</v>
      </c>
      <c r="C55" s="758" t="s">
        <v>493</v>
      </c>
      <c r="D55" s="756"/>
      <c r="E55" s="757">
        <v>400000</v>
      </c>
      <c r="F55" s="753">
        <v>0.03</v>
      </c>
      <c r="G55" s="583">
        <f t="shared" si="6"/>
        <v>12000</v>
      </c>
      <c r="I55" s="192"/>
      <c r="J55" s="188"/>
      <c r="K55" s="193"/>
      <c r="L55" s="133"/>
      <c r="M55" s="189"/>
      <c r="N55" s="179"/>
      <c r="O55" s="421">
        <f t="shared" si="9"/>
        <v>0</v>
      </c>
      <c r="Q55" s="174"/>
      <c r="R55" s="174"/>
      <c r="S55" s="180"/>
      <c r="T55" s="177">
        <f t="shared" si="7"/>
        <v>1</v>
      </c>
      <c r="U55" s="181"/>
      <c r="V55" s="179"/>
      <c r="W55" s="423">
        <f t="shared" si="8"/>
        <v>0</v>
      </c>
      <c r="Y55" s="434"/>
      <c r="Z55" s="435" t="str">
        <f>IF('Closed Transactions'!A52="", "",'Closed Transactions'!A52)</f>
        <v/>
      </c>
      <c r="AA55" s="436" t="e">
        <f t="shared" si="2"/>
        <v>#VALUE!</v>
      </c>
      <c r="AB55" s="171" t="str">
        <f>IF('Closed Transactions'!F52="","",'Closed Transactions'!F52)</f>
        <v/>
      </c>
      <c r="AC55" s="437" t="str">
        <f>IF(AND('Closed Transactions'!B52="",'Closed Transactions'!C52=""),"",IF('Closed Transactions'!B52="","Sell","Buy"))</f>
        <v/>
      </c>
      <c r="AD55" s="172">
        <f>'Closed Transactions'!I52</f>
        <v>0</v>
      </c>
      <c r="AE55" s="438" t="str">
        <f>IF('Closed Transactions'!J52="","",'Closed Transactions'!J52)</f>
        <v/>
      </c>
      <c r="AF55" s="173" t="str">
        <f>IF('Closed Transactions'!K52="","", 'Closed Transactions'!K52)</f>
        <v/>
      </c>
      <c r="AG55" s="131"/>
    </row>
    <row r="56" spans="1:33" ht="18" thickTop="1" thickBot="1" x14ac:dyDescent="0.25">
      <c r="A56" s="128"/>
      <c r="B56" s="754"/>
      <c r="C56" s="758"/>
      <c r="D56" s="756"/>
      <c r="E56" s="757"/>
      <c r="F56" s="753"/>
      <c r="G56" s="583">
        <f t="shared" si="6"/>
        <v>0</v>
      </c>
      <c r="I56" s="192"/>
      <c r="J56" s="188"/>
      <c r="K56" s="193"/>
      <c r="L56" s="133"/>
      <c r="M56" s="189"/>
      <c r="N56" s="179"/>
      <c r="O56" s="421">
        <f t="shared" si="9"/>
        <v>0</v>
      </c>
      <c r="Q56" s="174"/>
      <c r="R56" s="174"/>
      <c r="S56" s="180"/>
      <c r="T56" s="177">
        <f t="shared" si="7"/>
        <v>1</v>
      </c>
      <c r="U56" s="181"/>
      <c r="V56" s="179"/>
      <c r="W56" s="423">
        <f t="shared" si="8"/>
        <v>0</v>
      </c>
      <c r="Y56" s="434"/>
      <c r="Z56" s="435" t="str">
        <f>IF('Closed Transactions'!A53="", "",'Closed Transactions'!A53)</f>
        <v/>
      </c>
      <c r="AA56" s="436" t="e">
        <f t="shared" si="2"/>
        <v>#VALUE!</v>
      </c>
      <c r="AB56" s="171" t="str">
        <f>IF('Closed Transactions'!F53="","",'Closed Transactions'!F53)</f>
        <v/>
      </c>
      <c r="AC56" s="437" t="str">
        <f>IF(AND('Closed Transactions'!B53="",'Closed Transactions'!C53=""),"",IF('Closed Transactions'!B53="","Sell","Buy"))</f>
        <v/>
      </c>
      <c r="AD56" s="172">
        <f>'Closed Transactions'!I53</f>
        <v>0</v>
      </c>
      <c r="AE56" s="438" t="str">
        <f>IF('Closed Transactions'!J53="","",'Closed Transactions'!J53)</f>
        <v/>
      </c>
      <c r="AF56" s="173" t="str">
        <f>IF('Closed Transactions'!K53="","", 'Closed Transactions'!K53)</f>
        <v/>
      </c>
      <c r="AG56" s="131"/>
    </row>
    <row r="57" spans="1:33" ht="18" thickTop="1" thickBot="1" x14ac:dyDescent="0.25">
      <c r="A57" s="128"/>
      <c r="B57" s="754"/>
      <c r="C57" s="758"/>
      <c r="D57" s="756"/>
      <c r="E57" s="757"/>
      <c r="F57" s="753"/>
      <c r="G57" s="583">
        <f t="shared" si="6"/>
        <v>0</v>
      </c>
      <c r="I57" s="192"/>
      <c r="J57" s="188"/>
      <c r="K57" s="193"/>
      <c r="L57" s="133"/>
      <c r="M57" s="189"/>
      <c r="N57" s="179"/>
      <c r="O57" s="421">
        <f t="shared" si="9"/>
        <v>0</v>
      </c>
      <c r="Q57" s="174"/>
      <c r="R57" s="174"/>
      <c r="S57" s="180"/>
      <c r="T57" s="177">
        <f t="shared" si="7"/>
        <v>1</v>
      </c>
      <c r="U57" s="181"/>
      <c r="V57" s="179"/>
      <c r="W57" s="423">
        <f t="shared" si="8"/>
        <v>0</v>
      </c>
      <c r="Y57" s="434"/>
      <c r="Z57" s="435" t="str">
        <f>IF('Closed Transactions'!A54="", "",'Closed Transactions'!A54)</f>
        <v/>
      </c>
      <c r="AA57" s="436" t="e">
        <f t="shared" si="2"/>
        <v>#VALUE!</v>
      </c>
      <c r="AB57" s="171" t="str">
        <f>IF('Closed Transactions'!F54="","",'Closed Transactions'!F54)</f>
        <v/>
      </c>
      <c r="AC57" s="437" t="str">
        <f>IF(AND('Closed Transactions'!B54="",'Closed Transactions'!C54=""),"",IF('Closed Transactions'!B54="","Sell","Buy"))</f>
        <v/>
      </c>
      <c r="AD57" s="172">
        <f>'Closed Transactions'!I54</f>
        <v>0</v>
      </c>
      <c r="AE57" s="438" t="str">
        <f>IF('Closed Transactions'!J54="","",'Closed Transactions'!J54)</f>
        <v/>
      </c>
      <c r="AF57" s="173" t="str">
        <f>IF('Closed Transactions'!K54="","", 'Closed Transactions'!K54)</f>
        <v/>
      </c>
      <c r="AG57" s="131"/>
    </row>
    <row r="58" spans="1:33" ht="18" thickTop="1" thickBot="1" x14ac:dyDescent="0.25">
      <c r="A58" s="128"/>
      <c r="B58" s="754"/>
      <c r="C58" s="758"/>
      <c r="D58" s="756"/>
      <c r="E58" s="757"/>
      <c r="F58" s="753"/>
      <c r="G58" s="583">
        <f t="shared" si="6"/>
        <v>0</v>
      </c>
      <c r="I58" s="192"/>
      <c r="J58" s="188"/>
      <c r="K58" s="193"/>
      <c r="L58" s="133"/>
      <c r="M58" s="189"/>
      <c r="N58" s="179"/>
      <c r="O58" s="421">
        <f t="shared" si="9"/>
        <v>0</v>
      </c>
      <c r="Q58" s="174"/>
      <c r="R58" s="174"/>
      <c r="S58" s="180"/>
      <c r="T58" s="177">
        <f t="shared" si="7"/>
        <v>1</v>
      </c>
      <c r="U58" s="181"/>
      <c r="V58" s="179"/>
      <c r="W58" s="423">
        <f t="shared" si="8"/>
        <v>0</v>
      </c>
      <c r="Y58" s="434"/>
      <c r="Z58" s="435" t="str">
        <f>IF('Closed Transactions'!A55="", "",'Closed Transactions'!A55)</f>
        <v/>
      </c>
      <c r="AA58" s="436" t="e">
        <f t="shared" si="2"/>
        <v>#VALUE!</v>
      </c>
      <c r="AB58" s="171" t="str">
        <f>IF('Closed Transactions'!F55="","",'Closed Transactions'!F55)</f>
        <v/>
      </c>
      <c r="AC58" s="437" t="str">
        <f>IF(AND('Closed Transactions'!B55="",'Closed Transactions'!C55=""),"",IF('Closed Transactions'!B55="","Sell","Buy"))</f>
        <v/>
      </c>
      <c r="AD58" s="172">
        <f>'Closed Transactions'!I55</f>
        <v>0</v>
      </c>
      <c r="AE58" s="438" t="str">
        <f>IF('Closed Transactions'!J55="","",'Closed Transactions'!J55)</f>
        <v/>
      </c>
      <c r="AF58" s="173" t="str">
        <f>IF('Closed Transactions'!K55="","", 'Closed Transactions'!K55)</f>
        <v/>
      </c>
      <c r="AG58" s="131"/>
    </row>
    <row r="59" spans="1:33" ht="18" thickTop="1" thickBot="1" x14ac:dyDescent="0.25">
      <c r="A59" s="128"/>
      <c r="B59" s="754"/>
      <c r="C59" s="758"/>
      <c r="D59" s="756"/>
      <c r="E59" s="757"/>
      <c r="F59" s="753"/>
      <c r="G59" s="583">
        <f t="shared" si="6"/>
        <v>0</v>
      </c>
      <c r="I59" s="192"/>
      <c r="J59" s="188"/>
      <c r="K59" s="193"/>
      <c r="L59" s="133"/>
      <c r="M59" s="189"/>
      <c r="N59" s="179"/>
      <c r="O59" s="421">
        <f t="shared" si="9"/>
        <v>0</v>
      </c>
      <c r="Q59" s="174"/>
      <c r="R59" s="174"/>
      <c r="S59" s="180"/>
      <c r="T59" s="177">
        <f t="shared" si="7"/>
        <v>1</v>
      </c>
      <c r="U59" s="181"/>
      <c r="V59" s="179"/>
      <c r="W59" s="423">
        <f t="shared" si="8"/>
        <v>0</v>
      </c>
      <c r="Y59" s="434"/>
      <c r="Z59" s="435" t="str">
        <f>IF('Closed Transactions'!A56="", "",'Closed Transactions'!A56)</f>
        <v/>
      </c>
      <c r="AA59" s="436" t="e">
        <f t="shared" si="2"/>
        <v>#VALUE!</v>
      </c>
      <c r="AB59" s="171" t="str">
        <f>IF('Closed Transactions'!F56="","",'Closed Transactions'!F56)</f>
        <v/>
      </c>
      <c r="AC59" s="437" t="str">
        <f>IF(AND('Closed Transactions'!B56="",'Closed Transactions'!C56=""),"",IF('Closed Transactions'!B56="","Sell","Buy"))</f>
        <v/>
      </c>
      <c r="AD59" s="172">
        <f>'Closed Transactions'!I56</f>
        <v>0</v>
      </c>
      <c r="AE59" s="438" t="str">
        <f>IF('Closed Transactions'!J56="","",'Closed Transactions'!J56)</f>
        <v/>
      </c>
      <c r="AF59" s="173" t="str">
        <f>IF('Closed Transactions'!K56="","", 'Closed Transactions'!K56)</f>
        <v/>
      </c>
      <c r="AG59" s="131"/>
    </row>
    <row r="60" spans="1:33" ht="18" thickTop="1" thickBot="1" x14ac:dyDescent="0.25">
      <c r="A60" s="128"/>
      <c r="B60" s="132"/>
      <c r="C60" s="136"/>
      <c r="D60" s="134"/>
      <c r="E60" s="135"/>
      <c r="F60" s="584"/>
      <c r="G60" s="583">
        <f t="shared" ref="G60:G67" si="10">E60*F60</f>
        <v>0</v>
      </c>
      <c r="I60" s="192"/>
      <c r="J60" s="188"/>
      <c r="K60" s="193"/>
      <c r="L60" s="133"/>
      <c r="M60" s="189"/>
      <c r="N60" s="179"/>
      <c r="O60" s="421">
        <f t="shared" si="9"/>
        <v>0</v>
      </c>
      <c r="Q60" s="174"/>
      <c r="R60" s="174"/>
      <c r="S60" s="180"/>
      <c r="T60" s="177">
        <f t="shared" si="7"/>
        <v>1</v>
      </c>
      <c r="U60" s="181"/>
      <c r="V60" s="179"/>
      <c r="W60" s="423">
        <f t="shared" si="8"/>
        <v>0</v>
      </c>
      <c r="Y60" s="434"/>
      <c r="Z60" s="435" t="str">
        <f>IF('Closed Transactions'!A57="", "",'Closed Transactions'!A57)</f>
        <v/>
      </c>
      <c r="AA60" s="436" t="e">
        <f t="shared" si="2"/>
        <v>#VALUE!</v>
      </c>
      <c r="AB60" s="171" t="str">
        <f>IF('Closed Transactions'!F57="","",'Closed Transactions'!F57)</f>
        <v/>
      </c>
      <c r="AC60" s="437" t="str">
        <f>IF(AND('Closed Transactions'!B57="",'Closed Transactions'!C57=""),"",IF('Closed Transactions'!B57="","Sell","Buy"))</f>
        <v/>
      </c>
      <c r="AD60" s="172">
        <f>'Closed Transactions'!I57</f>
        <v>0</v>
      </c>
      <c r="AE60" s="438" t="str">
        <f>IF('Closed Transactions'!J57="","",'Closed Transactions'!J57)</f>
        <v/>
      </c>
      <c r="AF60" s="173" t="str">
        <f>IF('Closed Transactions'!K57="","", 'Closed Transactions'!K57)</f>
        <v/>
      </c>
      <c r="AG60" s="131"/>
    </row>
    <row r="61" spans="1:33" ht="18" thickTop="1" thickBot="1" x14ac:dyDescent="0.25">
      <c r="A61" s="128"/>
      <c r="B61" s="132"/>
      <c r="C61" s="136"/>
      <c r="D61" s="134"/>
      <c r="E61" s="135"/>
      <c r="F61" s="584"/>
      <c r="G61" s="583">
        <f t="shared" si="10"/>
        <v>0</v>
      </c>
      <c r="I61" s="192"/>
      <c r="J61" s="188"/>
      <c r="K61" s="193"/>
      <c r="L61" s="133"/>
      <c r="M61" s="189"/>
      <c r="N61" s="179"/>
      <c r="O61" s="421">
        <f t="shared" si="9"/>
        <v>0</v>
      </c>
      <c r="Q61" s="174"/>
      <c r="R61" s="174"/>
      <c r="S61" s="180"/>
      <c r="T61" s="177">
        <f t="shared" si="7"/>
        <v>1</v>
      </c>
      <c r="U61" s="181"/>
      <c r="V61" s="179"/>
      <c r="W61" s="423">
        <f t="shared" si="8"/>
        <v>0</v>
      </c>
      <c r="Y61" s="434"/>
      <c r="Z61" s="435" t="str">
        <f>IF('Closed Transactions'!A58="", "",'Closed Transactions'!A58)</f>
        <v/>
      </c>
      <c r="AA61" s="436" t="e">
        <f t="shared" si="2"/>
        <v>#VALUE!</v>
      </c>
      <c r="AB61" s="171" t="str">
        <f>IF('Closed Transactions'!F58="","",'Closed Transactions'!F58)</f>
        <v/>
      </c>
      <c r="AC61" s="437" t="str">
        <f>IF(AND('Closed Transactions'!B58="",'Closed Transactions'!C58=""),"",IF('Closed Transactions'!B58="","Sell","Buy"))</f>
        <v/>
      </c>
      <c r="AD61" s="172">
        <f>'Closed Transactions'!I58</f>
        <v>0</v>
      </c>
      <c r="AE61" s="438" t="str">
        <f>IF('Closed Transactions'!J58="","",'Closed Transactions'!J58)</f>
        <v/>
      </c>
      <c r="AF61" s="173" t="str">
        <f>IF('Closed Transactions'!K58="","", 'Closed Transactions'!K58)</f>
        <v/>
      </c>
      <c r="AG61" s="131"/>
    </row>
    <row r="62" spans="1:33" ht="18" thickTop="1" thickBot="1" x14ac:dyDescent="0.25">
      <c r="A62" s="128"/>
      <c r="B62" s="132"/>
      <c r="C62" s="136"/>
      <c r="D62" s="134"/>
      <c r="E62" s="135"/>
      <c r="F62" s="584"/>
      <c r="G62" s="583">
        <f t="shared" si="10"/>
        <v>0</v>
      </c>
      <c r="I62" s="192"/>
      <c r="J62" s="188"/>
      <c r="K62" s="193"/>
      <c r="L62" s="133"/>
      <c r="M62" s="189"/>
      <c r="N62" s="179"/>
      <c r="O62" s="421">
        <f t="shared" si="9"/>
        <v>0</v>
      </c>
      <c r="Q62" s="174"/>
      <c r="R62" s="174"/>
      <c r="S62" s="180"/>
      <c r="T62" s="177">
        <f t="shared" si="7"/>
        <v>1</v>
      </c>
      <c r="U62" s="181"/>
      <c r="V62" s="179"/>
      <c r="W62" s="423">
        <f t="shared" si="8"/>
        <v>0</v>
      </c>
      <c r="Y62" s="434"/>
      <c r="Z62" s="435" t="str">
        <f>IF('Closed Transactions'!A59="", "",'Closed Transactions'!A59)</f>
        <v/>
      </c>
      <c r="AA62" s="436" t="e">
        <f t="shared" si="2"/>
        <v>#VALUE!</v>
      </c>
      <c r="AB62" s="171" t="str">
        <f>IF('Closed Transactions'!F59="","",'Closed Transactions'!F59)</f>
        <v/>
      </c>
      <c r="AC62" s="437" t="str">
        <f>IF(AND('Closed Transactions'!B59="",'Closed Transactions'!C59=""),"",IF('Closed Transactions'!B59="","Sell","Buy"))</f>
        <v/>
      </c>
      <c r="AD62" s="172">
        <f>'Closed Transactions'!I59</f>
        <v>0</v>
      </c>
      <c r="AE62" s="438" t="str">
        <f>IF('Closed Transactions'!J59="","",'Closed Transactions'!J59)</f>
        <v/>
      </c>
      <c r="AF62" s="173" t="str">
        <f>IF('Closed Transactions'!K59="","", 'Closed Transactions'!K59)</f>
        <v/>
      </c>
      <c r="AG62" s="131"/>
    </row>
    <row r="63" spans="1:33" ht="18" thickTop="1" thickBot="1" x14ac:dyDescent="0.25">
      <c r="A63" s="128"/>
      <c r="B63" s="132"/>
      <c r="C63" s="136"/>
      <c r="D63" s="134"/>
      <c r="E63" s="135"/>
      <c r="F63" s="584"/>
      <c r="G63" s="583">
        <f t="shared" si="10"/>
        <v>0</v>
      </c>
      <c r="I63" s="192"/>
      <c r="J63" s="188"/>
      <c r="K63" s="193"/>
      <c r="L63" s="133"/>
      <c r="M63" s="189"/>
      <c r="N63" s="179"/>
      <c r="O63" s="421">
        <f t="shared" si="9"/>
        <v>0</v>
      </c>
      <c r="Q63" s="174"/>
      <c r="R63" s="174"/>
      <c r="S63" s="180"/>
      <c r="T63" s="177">
        <f t="shared" si="7"/>
        <v>1</v>
      </c>
      <c r="U63" s="181"/>
      <c r="V63" s="179"/>
      <c r="W63" s="423">
        <f t="shared" si="8"/>
        <v>0</v>
      </c>
      <c r="Y63" s="434"/>
      <c r="Z63" s="435" t="str">
        <f>IF('Closed Transactions'!A60="", "",'Closed Transactions'!A60)</f>
        <v/>
      </c>
      <c r="AA63" s="436" t="e">
        <f t="shared" si="2"/>
        <v>#VALUE!</v>
      </c>
      <c r="AB63" s="171" t="str">
        <f>IF('Closed Transactions'!F60="","",'Closed Transactions'!F60)</f>
        <v/>
      </c>
      <c r="AC63" s="437" t="str">
        <f>IF(AND('Closed Transactions'!B60="",'Closed Transactions'!C60=""),"",IF('Closed Transactions'!B60="","Sell","Buy"))</f>
        <v/>
      </c>
      <c r="AD63" s="172">
        <f>'Closed Transactions'!I60</f>
        <v>0</v>
      </c>
      <c r="AE63" s="438" t="str">
        <f>IF('Closed Transactions'!J60="","",'Closed Transactions'!J60)</f>
        <v/>
      </c>
      <c r="AF63" s="173" t="str">
        <f>IF('Closed Transactions'!K60="","", 'Closed Transactions'!K60)</f>
        <v/>
      </c>
      <c r="AG63" s="131"/>
    </row>
    <row r="64" spans="1:33" ht="18" thickTop="1" thickBot="1" x14ac:dyDescent="0.25">
      <c r="A64" s="128"/>
      <c r="B64" s="132"/>
      <c r="C64" s="136"/>
      <c r="D64" s="134"/>
      <c r="E64" s="135"/>
      <c r="F64" s="584"/>
      <c r="G64" s="583">
        <f t="shared" si="10"/>
        <v>0</v>
      </c>
      <c r="I64" s="192"/>
      <c r="J64" s="188"/>
      <c r="K64" s="193"/>
      <c r="L64" s="133"/>
      <c r="M64" s="189"/>
      <c r="N64" s="179"/>
      <c r="O64" s="421">
        <f t="shared" si="9"/>
        <v>0</v>
      </c>
      <c r="Q64" s="174"/>
      <c r="R64" s="174"/>
      <c r="S64" s="180"/>
      <c r="T64" s="177">
        <f t="shared" si="7"/>
        <v>1</v>
      </c>
      <c r="U64" s="181"/>
      <c r="V64" s="179"/>
      <c r="W64" s="423">
        <f t="shared" si="8"/>
        <v>0</v>
      </c>
      <c r="Y64" s="434"/>
      <c r="Z64" s="435" t="str">
        <f>IF('Closed Transactions'!A61="", "",'Closed Transactions'!A61)</f>
        <v/>
      </c>
      <c r="AA64" s="436" t="e">
        <f t="shared" si="2"/>
        <v>#VALUE!</v>
      </c>
      <c r="AB64" s="171" t="str">
        <f>IF('Closed Transactions'!F61="","",'Closed Transactions'!F61)</f>
        <v/>
      </c>
      <c r="AC64" s="437" t="str">
        <f>IF(AND('Closed Transactions'!B61="",'Closed Transactions'!C61=""),"",IF('Closed Transactions'!B61="","Sell","Buy"))</f>
        <v/>
      </c>
      <c r="AD64" s="172">
        <f>'Closed Transactions'!I61</f>
        <v>0</v>
      </c>
      <c r="AE64" s="438" t="str">
        <f>IF('Closed Transactions'!J61="","",'Closed Transactions'!J61)</f>
        <v/>
      </c>
      <c r="AF64" s="173" t="str">
        <f>IF('Closed Transactions'!K61="","", 'Closed Transactions'!K61)</f>
        <v/>
      </c>
      <c r="AG64" s="131"/>
    </row>
    <row r="65" spans="1:33" ht="18" thickTop="1" thickBot="1" x14ac:dyDescent="0.25">
      <c r="A65" s="128"/>
      <c r="B65" s="132"/>
      <c r="C65" s="136"/>
      <c r="D65" s="134"/>
      <c r="E65" s="135"/>
      <c r="F65" s="584"/>
      <c r="G65" s="583">
        <f t="shared" si="10"/>
        <v>0</v>
      </c>
      <c r="I65" s="192"/>
      <c r="J65" s="188"/>
      <c r="K65" s="193"/>
      <c r="L65" s="133"/>
      <c r="M65" s="189"/>
      <c r="N65" s="179"/>
      <c r="O65" s="421">
        <f t="shared" si="9"/>
        <v>0</v>
      </c>
      <c r="Q65" s="174"/>
      <c r="R65" s="174"/>
      <c r="S65" s="180"/>
      <c r="T65" s="177">
        <f t="shared" si="7"/>
        <v>1</v>
      </c>
      <c r="U65" s="181"/>
      <c r="V65" s="179"/>
      <c r="W65" s="423">
        <f t="shared" si="8"/>
        <v>0</v>
      </c>
      <c r="Y65" s="434"/>
      <c r="Z65" s="435" t="str">
        <f>IF('Closed Transactions'!A62="", "",'Closed Transactions'!A62)</f>
        <v/>
      </c>
      <c r="AA65" s="436" t="e">
        <f t="shared" si="2"/>
        <v>#VALUE!</v>
      </c>
      <c r="AB65" s="171" t="str">
        <f>IF('Closed Transactions'!F62="","",'Closed Transactions'!F62)</f>
        <v/>
      </c>
      <c r="AC65" s="437" t="str">
        <f>IF(AND('Closed Transactions'!B62="",'Closed Transactions'!C62=""),"",IF('Closed Transactions'!B62="","Sell","Buy"))</f>
        <v/>
      </c>
      <c r="AD65" s="172">
        <f>'Closed Transactions'!I62</f>
        <v>0</v>
      </c>
      <c r="AE65" s="438" t="str">
        <f>IF('Closed Transactions'!J62="","",'Closed Transactions'!J62)</f>
        <v/>
      </c>
      <c r="AF65" s="173" t="str">
        <f>IF('Closed Transactions'!K62="","", 'Closed Transactions'!K62)</f>
        <v/>
      </c>
      <c r="AG65" s="131"/>
    </row>
    <row r="66" spans="1:33" ht="18" thickTop="1" thickBot="1" x14ac:dyDescent="0.25">
      <c r="A66" s="128"/>
      <c r="B66" s="132"/>
      <c r="C66" s="136"/>
      <c r="D66" s="134"/>
      <c r="E66" s="135"/>
      <c r="F66" s="584"/>
      <c r="G66" s="583">
        <f t="shared" si="10"/>
        <v>0</v>
      </c>
      <c r="I66" s="192"/>
      <c r="J66" s="188"/>
      <c r="K66" s="193"/>
      <c r="L66" s="133"/>
      <c r="M66" s="189"/>
      <c r="N66" s="179"/>
      <c r="O66" s="421">
        <f t="shared" si="9"/>
        <v>0</v>
      </c>
      <c r="Q66" s="634"/>
      <c r="R66" s="634"/>
      <c r="S66" s="635"/>
      <c r="T66" s="636">
        <f t="shared" si="7"/>
        <v>1</v>
      </c>
      <c r="U66" s="637"/>
      <c r="V66" s="179"/>
      <c r="W66" s="423">
        <f t="shared" si="8"/>
        <v>0</v>
      </c>
      <c r="Y66" s="434"/>
      <c r="Z66" s="435" t="str">
        <f>IF('Closed Transactions'!A63="", "",'Closed Transactions'!A63)</f>
        <v/>
      </c>
      <c r="AA66" s="436" t="e">
        <f t="shared" si="2"/>
        <v>#VALUE!</v>
      </c>
      <c r="AB66" s="171" t="str">
        <f>IF('Closed Transactions'!F63="","",'Closed Transactions'!F63)</f>
        <v/>
      </c>
      <c r="AC66" s="437" t="str">
        <f>IF(AND('Closed Transactions'!B63="",'Closed Transactions'!C63=""),"",IF('Closed Transactions'!B63="","Sell","Buy"))</f>
        <v/>
      </c>
      <c r="AD66" s="172">
        <f>'Closed Transactions'!I63</f>
        <v>0</v>
      </c>
      <c r="AE66" s="438" t="str">
        <f>IF('Closed Transactions'!J63="","",'Closed Transactions'!J63)</f>
        <v/>
      </c>
      <c r="AF66" s="173" t="str">
        <f>IF('Closed Transactions'!K63="","", 'Closed Transactions'!K63)</f>
        <v/>
      </c>
      <c r="AG66" s="131"/>
    </row>
    <row r="67" spans="1:33" ht="21" thickTop="1" thickBot="1" x14ac:dyDescent="0.3">
      <c r="A67" s="137"/>
      <c r="B67" s="138"/>
      <c r="C67" s="139"/>
      <c r="D67" s="140"/>
      <c r="E67" s="141"/>
      <c r="F67" s="585"/>
      <c r="G67" s="583">
        <f t="shared" si="10"/>
        <v>0</v>
      </c>
      <c r="I67" s="194"/>
      <c r="J67" s="195"/>
      <c r="K67" s="196"/>
      <c r="L67" s="197"/>
      <c r="M67" s="198"/>
      <c r="N67" s="182"/>
      <c r="O67" s="421">
        <f t="shared" si="9"/>
        <v>0</v>
      </c>
      <c r="Q67" s="808" t="s">
        <v>358</v>
      </c>
      <c r="R67" s="808"/>
      <c r="S67" s="808"/>
      <c r="T67" s="808"/>
      <c r="U67" s="808"/>
      <c r="V67" s="808"/>
      <c r="W67" s="639">
        <f>SUM(W39:W66)</f>
        <v>0</v>
      </c>
      <c r="Y67" s="439"/>
      <c r="Z67" s="435" t="str">
        <f>IF('Closed Transactions'!A64="", "",'Closed Transactions'!A64)</f>
        <v/>
      </c>
      <c r="AA67" s="436" t="e">
        <f t="shared" si="2"/>
        <v>#VALUE!</v>
      </c>
      <c r="AB67" s="171" t="str">
        <f>IF('Closed Transactions'!F64="","",'Closed Transactions'!F64)</f>
        <v/>
      </c>
      <c r="AC67" s="437" t="str">
        <f>IF(AND('Closed Transactions'!B64="",'Closed Transactions'!C64=""),"",IF('Closed Transactions'!B64="","Sell","Buy"))</f>
        <v/>
      </c>
      <c r="AD67" s="172">
        <f>'Closed Transactions'!I64</f>
        <v>0</v>
      </c>
      <c r="AE67" s="438" t="str">
        <f>IF('Closed Transactions'!J64="","",'Closed Transactions'!J64)</f>
        <v/>
      </c>
      <c r="AF67" s="173" t="str">
        <f>IF('Closed Transactions'!K64="","", 'Closed Transactions'!K64)</f>
        <v/>
      </c>
      <c r="AG67" s="142"/>
    </row>
    <row r="68" spans="1:33" ht="35.25" customHeight="1" thickTop="1" thickBot="1" x14ac:dyDescent="0.25">
      <c r="A68" s="798" t="s">
        <v>141</v>
      </c>
      <c r="B68" s="798"/>
      <c r="C68" s="798"/>
      <c r="D68" s="143">
        <f>COUNTIF(C6:C67,"*")</f>
        <v>50</v>
      </c>
      <c r="E68" s="144">
        <f>SUM(E6:E67)</f>
        <v>35500000</v>
      </c>
      <c r="F68" s="799">
        <f>SUM(G6:G67)</f>
        <v>1015500</v>
      </c>
      <c r="G68" s="800"/>
      <c r="H68" s="92"/>
      <c r="I68" s="145"/>
      <c r="J68" s="798"/>
      <c r="K68" s="798"/>
      <c r="L68" s="143">
        <f>COUNTIF(K6:K35,"*") +COUNTIF(K39:K67,"*")</f>
        <v>15</v>
      </c>
      <c r="M68" s="146">
        <f>SUM(M6:M67)</f>
        <v>8950000</v>
      </c>
      <c r="N68" s="308"/>
      <c r="O68" s="422">
        <f>SUM(O6:O67)</f>
        <v>254250</v>
      </c>
      <c r="P68" s="92"/>
      <c r="Q68" s="147"/>
      <c r="R68" s="147"/>
      <c r="S68" s="143">
        <f>COUNTIF(R6:R34,"*") +COUNTIF(R39:R66,"*")</f>
        <v>1</v>
      </c>
      <c r="T68" s="148"/>
      <c r="U68" s="149">
        <f>SUM(U6:U67)</f>
        <v>2350</v>
      </c>
      <c r="V68" s="309"/>
      <c r="W68" s="632">
        <f>W67+W35</f>
        <v>0</v>
      </c>
      <c r="Y68" s="440"/>
      <c r="Z68" s="440"/>
      <c r="AA68" s="436">
        <f t="shared" si="2"/>
        <v>1</v>
      </c>
      <c r="AB68" s="364" t="s">
        <v>142</v>
      </c>
      <c r="AC68" s="441">
        <f>'Closed Transactions'!A65</f>
        <v>17</v>
      </c>
      <c r="AD68" s="146">
        <f>SUM(AD6:AD67)</f>
        <v>5901765</v>
      </c>
      <c r="AE68" s="791">
        <f>SUM(AF6:AF67)</f>
        <v>119176.25065279999</v>
      </c>
      <c r="AF68" s="792"/>
      <c r="AG68" s="150"/>
    </row>
    <row r="69" spans="1:33" ht="38" thickTop="1" thickBot="1" x14ac:dyDescent="0.25">
      <c r="A69" s="151"/>
      <c r="B69" s="151"/>
      <c r="C69" s="152"/>
      <c r="D69" s="153"/>
      <c r="E69" s="154" t="s">
        <v>143</v>
      </c>
      <c r="F69" s="155"/>
      <c r="G69" s="154" t="s">
        <v>144</v>
      </c>
      <c r="H69" s="92"/>
      <c r="I69" s="151"/>
      <c r="J69" s="151"/>
      <c r="K69" s="156"/>
      <c r="L69" s="153"/>
      <c r="M69" s="154" t="s">
        <v>452</v>
      </c>
      <c r="N69" s="155"/>
      <c r="O69" s="154" t="s">
        <v>145</v>
      </c>
      <c r="P69" s="92"/>
      <c r="Q69" s="157"/>
      <c r="R69" s="157"/>
      <c r="S69" s="154"/>
      <c r="T69" s="154"/>
      <c r="U69" s="154" t="s">
        <v>146</v>
      </c>
      <c r="V69" s="155"/>
      <c r="W69" s="633" t="s">
        <v>147</v>
      </c>
      <c r="Y69" s="442"/>
      <c r="Z69" s="442"/>
      <c r="AA69" s="436">
        <f t="shared" si="2"/>
        <v>1</v>
      </c>
      <c r="AB69" s="443"/>
      <c r="AC69" s="444"/>
      <c r="AD69" s="445" t="s">
        <v>148</v>
      </c>
      <c r="AE69" s="155"/>
      <c r="AF69" s="154" t="s">
        <v>149</v>
      </c>
      <c r="AG69" s="158"/>
    </row>
    <row r="70" spans="1:33" ht="16" thickTop="1" x14ac:dyDescent="0.2">
      <c r="D70" s="159"/>
      <c r="E70" s="161"/>
      <c r="F70" s="162"/>
      <c r="G70" s="163"/>
      <c r="L70" s="159"/>
      <c r="M70" s="165"/>
      <c r="S70" s="165"/>
      <c r="T70" s="165"/>
      <c r="U70" s="165"/>
      <c r="AC70" s="448"/>
      <c r="AD70" s="449"/>
    </row>
    <row r="71" spans="1:33" ht="14" x14ac:dyDescent="0.2">
      <c r="A71" s="110"/>
      <c r="B71" s="110"/>
      <c r="C71" s="110"/>
      <c r="D71" s="110"/>
      <c r="F71" s="110"/>
      <c r="I71" s="110"/>
      <c r="J71" s="110"/>
      <c r="K71" s="110"/>
      <c r="L71" s="110"/>
      <c r="M71" s="110"/>
      <c r="N71" s="110"/>
      <c r="Q71" s="110"/>
      <c r="R71" s="110"/>
      <c r="S71" s="110"/>
      <c r="T71" s="110"/>
      <c r="U71" s="110"/>
      <c r="V71" s="110"/>
      <c r="Y71" s="92"/>
      <c r="Z71" s="92"/>
      <c r="AA71" s="92"/>
      <c r="AB71" s="92"/>
      <c r="AE71" s="92"/>
    </row>
    <row r="72" spans="1:33" ht="14" x14ac:dyDescent="0.2">
      <c r="A72" s="110"/>
      <c r="B72" s="110"/>
      <c r="C72" s="110"/>
      <c r="D72" s="110"/>
      <c r="F72" s="110"/>
      <c r="I72" s="110"/>
      <c r="J72" s="110"/>
      <c r="K72" s="110"/>
      <c r="L72" s="110"/>
      <c r="M72" s="110"/>
      <c r="N72" s="110"/>
      <c r="Q72" s="110"/>
      <c r="R72" s="110"/>
      <c r="S72" s="110"/>
      <c r="T72" s="110"/>
      <c r="U72" s="110"/>
      <c r="V72" s="605"/>
      <c r="Y72" s="92"/>
      <c r="Z72" s="92"/>
      <c r="AA72" s="92"/>
      <c r="AB72" s="92"/>
      <c r="AE72" s="92"/>
    </row>
    <row r="73" spans="1:33" ht="14" x14ac:dyDescent="0.2">
      <c r="A73" s="110"/>
      <c r="B73" s="110"/>
      <c r="C73" s="110"/>
      <c r="D73" s="110"/>
      <c r="F73" s="110"/>
      <c r="I73" s="110"/>
      <c r="J73" s="110"/>
      <c r="K73" s="110"/>
      <c r="L73" s="110"/>
      <c r="M73" s="110"/>
      <c r="N73" s="110"/>
      <c r="Q73" s="110"/>
      <c r="R73" s="110"/>
      <c r="S73" s="110"/>
      <c r="T73" s="110"/>
      <c r="U73" s="110"/>
      <c r="V73" s="110"/>
      <c r="Y73" s="92"/>
      <c r="Z73" s="92"/>
      <c r="AA73" s="92"/>
      <c r="AB73" s="92"/>
      <c r="AE73" s="92"/>
    </row>
    <row r="74" spans="1:33" ht="14" x14ac:dyDescent="0.2">
      <c r="A74" s="110"/>
      <c r="B74" s="110"/>
      <c r="C74" s="110"/>
      <c r="D74" s="110"/>
      <c r="F74" s="110"/>
      <c r="I74" s="110"/>
      <c r="J74" s="110"/>
      <c r="K74" s="110"/>
      <c r="L74" s="110"/>
      <c r="M74" s="110"/>
      <c r="N74" s="110"/>
      <c r="Q74" s="110"/>
      <c r="R74" s="110"/>
      <c r="S74" s="110"/>
      <c r="T74" s="110"/>
      <c r="U74" s="110"/>
      <c r="V74" s="110"/>
      <c r="Y74" s="92"/>
      <c r="Z74" s="92"/>
      <c r="AA74" s="92"/>
      <c r="AB74" s="92"/>
      <c r="AE74" s="92"/>
    </row>
    <row r="75" spans="1:33" ht="14" x14ac:dyDescent="0.2">
      <c r="A75" s="110"/>
      <c r="B75" s="110"/>
      <c r="C75" s="110"/>
      <c r="D75" s="110"/>
      <c r="F75" s="110"/>
      <c r="I75" s="110"/>
      <c r="J75" s="110"/>
      <c r="K75" s="110"/>
      <c r="L75" s="110"/>
      <c r="M75" s="110"/>
      <c r="N75" s="110"/>
      <c r="Q75" s="110"/>
      <c r="R75" s="110"/>
      <c r="S75" s="110"/>
      <c r="T75" s="110"/>
      <c r="U75" s="110"/>
      <c r="V75" s="110"/>
      <c r="Y75" s="92"/>
      <c r="Z75" s="92"/>
      <c r="AA75" s="92"/>
      <c r="AB75" s="92"/>
      <c r="AE75" s="92"/>
    </row>
    <row r="76" spans="1:33" ht="14" x14ac:dyDescent="0.2">
      <c r="A76" s="110"/>
      <c r="B76" s="110"/>
      <c r="C76" s="110"/>
      <c r="D76" s="110"/>
      <c r="F76" s="110"/>
      <c r="I76" s="110"/>
      <c r="J76" s="110"/>
      <c r="K76" s="110"/>
      <c r="L76" s="110"/>
      <c r="M76" s="110"/>
      <c r="N76" s="110"/>
      <c r="Q76" s="110"/>
      <c r="R76" s="110"/>
      <c r="S76" s="110"/>
      <c r="T76" s="110"/>
      <c r="U76" s="110"/>
      <c r="V76" s="110"/>
      <c r="Y76" s="92"/>
      <c r="Z76" s="92"/>
      <c r="AA76" s="92"/>
      <c r="AB76" s="92"/>
      <c r="AE76" s="92"/>
    </row>
    <row r="77" spans="1:33" ht="14" x14ac:dyDescent="0.2">
      <c r="A77" s="110"/>
      <c r="B77" s="110"/>
      <c r="C77" s="110"/>
      <c r="D77" s="110"/>
      <c r="F77" s="110"/>
      <c r="I77" s="110"/>
      <c r="J77" s="110"/>
      <c r="K77" s="110"/>
      <c r="L77" s="110"/>
      <c r="M77" s="110"/>
      <c r="N77" s="110"/>
      <c r="Q77" s="110"/>
      <c r="R77" s="110"/>
      <c r="S77" s="110"/>
      <c r="T77" s="110"/>
      <c r="U77" s="110"/>
      <c r="V77" s="110"/>
      <c r="Y77" s="92"/>
      <c r="Z77" s="92"/>
      <c r="AA77" s="92"/>
      <c r="AB77" s="92"/>
      <c r="AE77" s="92"/>
    </row>
    <row r="78" spans="1:33" ht="14" x14ac:dyDescent="0.2">
      <c r="A78" s="110"/>
      <c r="B78" s="110"/>
      <c r="C78" s="110"/>
      <c r="D78" s="110"/>
      <c r="F78" s="110"/>
      <c r="I78" s="110"/>
      <c r="J78" s="110"/>
      <c r="K78" s="110"/>
      <c r="L78" s="110"/>
      <c r="M78" s="110"/>
      <c r="N78" s="110"/>
      <c r="Q78" s="110"/>
      <c r="R78" s="110"/>
      <c r="S78" s="110"/>
      <c r="T78" s="110"/>
      <c r="U78" s="110"/>
      <c r="V78" s="110"/>
      <c r="Y78" s="92"/>
      <c r="Z78" s="92"/>
      <c r="AA78" s="92"/>
      <c r="AB78" s="92"/>
      <c r="AE78" s="92"/>
    </row>
    <row r="79" spans="1:33" ht="14" x14ac:dyDescent="0.2">
      <c r="A79" s="110"/>
      <c r="B79" s="110"/>
      <c r="C79" s="110"/>
      <c r="D79" s="110"/>
      <c r="F79" s="110"/>
      <c r="I79" s="110"/>
      <c r="J79" s="110"/>
      <c r="K79" s="110"/>
      <c r="L79" s="110"/>
      <c r="M79" s="110"/>
      <c r="N79" s="110"/>
      <c r="Q79" s="110"/>
      <c r="R79" s="110"/>
      <c r="S79" s="110"/>
      <c r="T79" s="110"/>
      <c r="U79" s="110"/>
      <c r="V79" s="110"/>
      <c r="Y79" s="92"/>
      <c r="Z79" s="92"/>
      <c r="AA79" s="92"/>
      <c r="AB79" s="92"/>
      <c r="AE79" s="92"/>
    </row>
    <row r="80" spans="1:33" ht="14" x14ac:dyDescent="0.2">
      <c r="A80" s="110"/>
      <c r="B80" s="110"/>
      <c r="C80" s="110"/>
      <c r="D80" s="110"/>
      <c r="F80" s="110"/>
      <c r="I80" s="110"/>
      <c r="J80" s="110"/>
      <c r="K80" s="110"/>
      <c r="L80" s="110"/>
      <c r="M80" s="110"/>
      <c r="N80" s="110"/>
      <c r="Q80" s="110"/>
      <c r="R80" s="110"/>
      <c r="S80" s="110"/>
      <c r="T80" s="110"/>
      <c r="U80" s="110"/>
      <c r="V80" s="110"/>
      <c r="Y80" s="92"/>
      <c r="Z80" s="92"/>
      <c r="AA80" s="92"/>
      <c r="AB80" s="92"/>
      <c r="AE80" s="92"/>
    </row>
    <row r="81" spans="1:31" ht="14" x14ac:dyDescent="0.2">
      <c r="A81" s="110"/>
      <c r="B81" s="110"/>
      <c r="C81" s="110"/>
      <c r="D81" s="110"/>
      <c r="F81" s="110"/>
      <c r="I81" s="110"/>
      <c r="J81" s="110"/>
      <c r="K81" s="110"/>
      <c r="L81" s="110"/>
      <c r="M81" s="110"/>
      <c r="N81" s="110"/>
      <c r="Q81" s="110"/>
      <c r="R81" s="110"/>
      <c r="S81" s="110"/>
      <c r="T81" s="110"/>
      <c r="U81" s="110"/>
      <c r="V81" s="110"/>
      <c r="Y81" s="92"/>
      <c r="Z81" s="92"/>
      <c r="AA81" s="92"/>
      <c r="AB81" s="92"/>
      <c r="AE81" s="92"/>
    </row>
    <row r="82" spans="1:31" ht="14" x14ac:dyDescent="0.2">
      <c r="A82" s="110"/>
      <c r="B82" s="110"/>
      <c r="C82" s="110"/>
      <c r="D82" s="110"/>
      <c r="F82" s="110"/>
      <c r="I82" s="110"/>
      <c r="J82" s="110"/>
      <c r="K82" s="110"/>
      <c r="L82" s="110"/>
      <c r="M82" s="110"/>
      <c r="N82" s="110"/>
      <c r="Q82" s="110"/>
      <c r="R82" s="110"/>
      <c r="S82" s="110"/>
      <c r="T82" s="110"/>
      <c r="U82" s="110"/>
      <c r="V82" s="110"/>
      <c r="Y82" s="92"/>
      <c r="Z82" s="92"/>
      <c r="AA82" s="92"/>
      <c r="AB82" s="92"/>
      <c r="AE82" s="92"/>
    </row>
    <row r="83" spans="1:31" ht="14" x14ac:dyDescent="0.2">
      <c r="A83" s="110"/>
      <c r="B83" s="110"/>
      <c r="C83" s="110"/>
      <c r="D83" s="110"/>
      <c r="F83" s="110"/>
      <c r="I83" s="110"/>
      <c r="J83" s="110"/>
      <c r="K83" s="110"/>
      <c r="L83" s="110"/>
      <c r="M83" s="110"/>
      <c r="N83" s="110"/>
      <c r="Q83" s="110"/>
      <c r="R83" s="110"/>
      <c r="S83" s="110"/>
      <c r="T83" s="110"/>
      <c r="U83" s="110"/>
      <c r="V83" s="110"/>
      <c r="Y83" s="92"/>
      <c r="Z83" s="92"/>
      <c r="AA83" s="92"/>
      <c r="AB83" s="92"/>
      <c r="AE83" s="92"/>
    </row>
    <row r="84" spans="1:31" ht="14" x14ac:dyDescent="0.2">
      <c r="A84" s="110"/>
      <c r="B84" s="110"/>
      <c r="C84" s="110"/>
      <c r="D84" s="110"/>
      <c r="F84" s="110"/>
      <c r="I84" s="110"/>
      <c r="J84" s="110"/>
      <c r="K84" s="110"/>
      <c r="L84" s="110"/>
      <c r="M84" s="110"/>
      <c r="N84" s="110"/>
      <c r="Q84" s="110"/>
      <c r="R84" s="110"/>
      <c r="S84" s="110"/>
      <c r="T84" s="110"/>
      <c r="U84" s="110"/>
      <c r="V84" s="110"/>
      <c r="Y84" s="92"/>
      <c r="Z84" s="92"/>
      <c r="AA84" s="92"/>
      <c r="AB84" s="92"/>
      <c r="AE84" s="92"/>
    </row>
    <row r="85" spans="1:31" ht="14" x14ac:dyDescent="0.2">
      <c r="A85" s="110"/>
      <c r="B85" s="110"/>
      <c r="C85" s="110"/>
      <c r="D85" s="110"/>
      <c r="F85" s="110"/>
      <c r="I85" s="110"/>
      <c r="J85" s="110"/>
      <c r="K85" s="110"/>
      <c r="L85" s="110"/>
      <c r="M85" s="110"/>
      <c r="N85" s="110"/>
      <c r="Q85" s="110"/>
      <c r="R85" s="110"/>
      <c r="S85" s="110"/>
      <c r="T85" s="110"/>
      <c r="U85" s="110"/>
      <c r="V85" s="110"/>
      <c r="Y85" s="92"/>
      <c r="Z85" s="92"/>
      <c r="AA85" s="92"/>
      <c r="AB85" s="92"/>
      <c r="AE85" s="92"/>
    </row>
    <row r="86" spans="1:31" ht="14" x14ac:dyDescent="0.2">
      <c r="A86" s="110"/>
      <c r="B86" s="110"/>
      <c r="C86" s="110"/>
      <c r="D86" s="110"/>
      <c r="F86" s="110"/>
      <c r="I86" s="110"/>
      <c r="J86" s="110"/>
      <c r="K86" s="110"/>
      <c r="L86" s="110"/>
      <c r="M86" s="110"/>
      <c r="N86" s="110"/>
      <c r="Q86" s="110"/>
      <c r="R86" s="110"/>
      <c r="S86" s="110"/>
      <c r="T86" s="110"/>
      <c r="U86" s="110"/>
      <c r="V86" s="110"/>
      <c r="Y86" s="92"/>
      <c r="Z86" s="92"/>
      <c r="AA86" s="92"/>
      <c r="AB86" s="92"/>
      <c r="AE86" s="92"/>
    </row>
    <row r="87" spans="1:31" ht="14" x14ac:dyDescent="0.2">
      <c r="A87" s="110"/>
      <c r="B87" s="110"/>
      <c r="C87" s="110"/>
      <c r="D87" s="110"/>
      <c r="F87" s="110"/>
      <c r="I87" s="110"/>
      <c r="J87" s="110"/>
      <c r="K87" s="110"/>
      <c r="L87" s="110"/>
      <c r="M87" s="110"/>
      <c r="N87" s="110"/>
      <c r="Q87" s="110"/>
      <c r="R87" s="110"/>
      <c r="S87" s="110"/>
      <c r="T87" s="110"/>
      <c r="U87" s="110"/>
      <c r="V87" s="110"/>
      <c r="Y87" s="92"/>
      <c r="Z87" s="92"/>
      <c r="AA87" s="92"/>
      <c r="AB87" s="92"/>
      <c r="AE87" s="92"/>
    </row>
  </sheetData>
  <sheetProtection algorithmName="SHA-512" hashValue="rRxSeXp0QUOlP/og0D8HVdHXBksMVg/lUUsSU7HgQYuqhscva9lyEPVTYynTBXsDWHAtUTY604XBQeJRZOSaow==" saltValue="p0bG4iGVBvj8p1WxUn8sxw==" spinCount="100000" sheet="1" objects="1" scenarios="1" selectLockedCells="1"/>
  <mergeCells count="12">
    <mergeCell ref="AE68:AF68"/>
    <mergeCell ref="A2:G2"/>
    <mergeCell ref="Q2:W2"/>
    <mergeCell ref="Y2:AF2"/>
    <mergeCell ref="A68:C68"/>
    <mergeCell ref="F68:G68"/>
    <mergeCell ref="J68:K68"/>
    <mergeCell ref="I2:O2"/>
    <mergeCell ref="I36:O37"/>
    <mergeCell ref="Q36:W37"/>
    <mergeCell ref="Q35:V35"/>
    <mergeCell ref="Q67:V67"/>
  </mergeCells>
  <dataValidations xWindow="78" yWindow="550" count="7">
    <dataValidation type="whole" operator="lessThanOrEqual" allowBlank="1" showInputMessage="1" showErrorMessage="1" promptTitle="Pain or Pleasure Rating" prompt="On a scale of 1-5, _x000a_how would you rate this client's pain or pleasure?  (Motivation to move.)_x000a__x000a_1 = low    5=high" sqref="L6:L35 L39:L67 D60:D67" xr:uid="{A6585940-D64A-4659-989A-AC7F0C60FA38}">
      <formula1>5</formula1>
    </dataValidation>
    <dataValidation type="decimal" errorStyle="warning" operator="greaterThan" allowBlank="1" showInputMessage="1" showErrorMessage="1" errorTitle="Is this correct?" error="Is this the correct referral fee?" promptTitle="Agent Referral Fee" prompt="Enter Referral Fee (%) _x000a_to be deducted from_x000a_commission before _x000a_split." sqref="Y6:Y67" xr:uid="{9CD2DFC2-84EC-43F1-8FD6-675843E56B26}">
      <formula1>0</formula1>
    </dataValidation>
    <dataValidation type="decimal" errorStyle="warning" operator="lessThanOrEqual" allowBlank="1" showInputMessage="1" showErrorMessage="1" errorTitle="Is this correct?" error="Is the commission fee entered correctly?" promptTitle="Commission Rate" prompt="Enter your average _x000a_commission rate (%) _x000a_" sqref="N6:N35 N39:N67 F60:F67" xr:uid="{15AF8C54-CC35-499E-B10F-7188900A6493}">
      <formula1>0.04</formula1>
    </dataValidation>
    <dataValidation type="decimal" errorStyle="warning" operator="lessThanOrEqual" allowBlank="1" showInputMessage="1" showErrorMessage="1" errorTitle="Is this correct?" error="Is the commission fee entered correctly?" promptTitle="Commission Rate" prompt="Enter agent _x000a_commission (%) _x000a_per contract." sqref="V6:V34 V38:V66" xr:uid="{CD775A7E-6BA8-4DE9-859B-773BD8A3685D}">
      <formula1>0.04</formula1>
    </dataValidation>
    <dataValidation type="whole" operator="greaterThanOrEqual" allowBlank="1" showInputMessage="1" showErrorMessage="1" error="Enter an estimated price of property likley to purchase._x000a__x000a_This must be a number equal to or greater than zero." promptTitle="Estimated Price" prompt="Enter an estimated price of property likley to purchase." sqref="M39:M67 M6:M35 E60:E67" xr:uid="{00B4248E-5D60-4179-911A-BF6633C014C8}">
      <formula1>0</formula1>
    </dataValidation>
    <dataValidation type="whole" operator="greaterThanOrEqual" allowBlank="1" showInputMessage="1" showErrorMessage="1" error="Enter the price agreed in the contract._x000a__x000a_This must be a number equal to or greater than zero." promptTitle="Sales Price" sqref="AA6:AA69 S6:U34 S38:U66" xr:uid="{E1E66E4E-1BC3-4405-A1C1-44A979EC428D}">
      <formula1>0</formula1>
    </dataValidation>
    <dataValidation type="whole" operator="greaterThanOrEqual" allowBlank="1" showInputMessage="1" showErrorMessage="1" error="Enter the final sales price._x000a__x000a_This must be a number equal to or greater than zero." promptTitle="Sales Price" sqref="AD6:AD67" xr:uid="{357A7EEC-EBF4-491B-A7E2-E998FB52160D}">
      <formula1>0</formula1>
    </dataValidation>
  </dataValidations>
  <pageMargins left="0.7" right="0.7" top="0.75" bottom="0.75" header="0.3" footer="0.3"/>
  <pageSetup scale="95" orientation="portrait" horizontalDpi="360" verticalDpi="360" r:id="rId1"/>
  <headerFooter>
    <oddFooter>&amp;RPage &amp;P of &amp;N</oddFooter>
  </headerFooter>
  <colBreaks count="3" manualBreakCount="3">
    <brk id="8" max="69" man="1"/>
    <brk id="16" max="69" man="1"/>
    <brk id="24" max="69"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tint="0.39997558519241921"/>
  </sheetPr>
  <dimension ref="A1:AN101"/>
  <sheetViews>
    <sheetView showGridLines="0" showRowColHeaders="0" zoomScale="110" zoomScaleNormal="110" workbookViewId="0">
      <selection activeCell="H30" sqref="H30"/>
    </sheetView>
  </sheetViews>
  <sheetFormatPr baseColWidth="10" defaultColWidth="14" defaultRowHeight="15" x14ac:dyDescent="0.2"/>
  <cols>
    <col min="1" max="1" width="14" style="245"/>
    <col min="2" max="2" width="5.5" style="245" bestFit="1" customWidth="1"/>
    <col min="3" max="3" width="5" style="245" bestFit="1" customWidth="1"/>
    <col min="4" max="5" width="14" style="245"/>
    <col min="6" max="7" width="23.1640625" style="245" customWidth="1"/>
    <col min="8" max="9" width="14" style="245"/>
    <col min="10" max="10" width="10.5" style="245" bestFit="1" customWidth="1"/>
    <col min="11" max="11" width="18.6640625" style="93" customWidth="1"/>
    <col min="12" max="12" width="14" style="93"/>
    <col min="13" max="13" width="19.83203125" style="93" customWidth="1"/>
    <col min="14" max="14" width="14" style="93"/>
    <col min="15" max="15" width="3.1640625" style="93" customWidth="1"/>
    <col min="16" max="16" width="14" style="93"/>
    <col min="17" max="40" width="8.5" style="93" customWidth="1"/>
    <col min="41" max="16384" width="14" style="245"/>
  </cols>
  <sheetData>
    <row r="1" spans="1:40" ht="24" x14ac:dyDescent="0.3">
      <c r="A1" s="690" t="s">
        <v>370</v>
      </c>
    </row>
    <row r="2" spans="1:40" s="294" customFormat="1" ht="70" x14ac:dyDescent="0.15">
      <c r="A2" s="411" t="s">
        <v>21</v>
      </c>
      <c r="B2" s="412" t="s">
        <v>22</v>
      </c>
      <c r="C2" s="412" t="s">
        <v>23</v>
      </c>
      <c r="D2" s="412" t="s">
        <v>24</v>
      </c>
      <c r="E2" s="413" t="s">
        <v>453</v>
      </c>
      <c r="F2" s="414" t="s">
        <v>135</v>
      </c>
      <c r="G2" s="415" t="s">
        <v>66</v>
      </c>
      <c r="H2" s="411" t="s">
        <v>25</v>
      </c>
      <c r="I2" s="416" t="s">
        <v>26</v>
      </c>
      <c r="J2" s="411" t="s">
        <v>27</v>
      </c>
      <c r="K2" s="292" t="s">
        <v>28</v>
      </c>
      <c r="L2" s="411" t="s">
        <v>220</v>
      </c>
      <c r="M2" s="292" t="s">
        <v>306</v>
      </c>
      <c r="N2" s="292" t="s">
        <v>307</v>
      </c>
      <c r="O2" s="293"/>
      <c r="P2" s="295" t="s">
        <v>26</v>
      </c>
      <c r="Q2" s="812" t="s">
        <v>35</v>
      </c>
      <c r="R2" s="811"/>
      <c r="S2" s="811" t="s">
        <v>36</v>
      </c>
      <c r="T2" s="811"/>
      <c r="U2" s="811" t="s">
        <v>37</v>
      </c>
      <c r="V2" s="811"/>
      <c r="W2" s="811" t="s">
        <v>38</v>
      </c>
      <c r="X2" s="811"/>
      <c r="Y2" s="811" t="s">
        <v>20</v>
      </c>
      <c r="Z2" s="811"/>
      <c r="AA2" s="811" t="s">
        <v>39</v>
      </c>
      <c r="AB2" s="811"/>
      <c r="AC2" s="811" t="s">
        <v>29</v>
      </c>
      <c r="AD2" s="811"/>
      <c r="AE2" s="811" t="s">
        <v>30</v>
      </c>
      <c r="AF2" s="811"/>
      <c r="AG2" s="811" t="s">
        <v>31</v>
      </c>
      <c r="AH2" s="811"/>
      <c r="AI2" s="811" t="s">
        <v>32</v>
      </c>
      <c r="AJ2" s="811"/>
      <c r="AK2" s="811" t="s">
        <v>33</v>
      </c>
      <c r="AL2" s="811"/>
      <c r="AM2" s="811" t="s">
        <v>34</v>
      </c>
      <c r="AN2" s="811"/>
    </row>
    <row r="3" spans="1:40" x14ac:dyDescent="0.2">
      <c r="A3" s="227">
        <v>45667</v>
      </c>
      <c r="B3" s="228">
        <v>1</v>
      </c>
      <c r="C3" s="228"/>
      <c r="D3" s="229" t="s">
        <v>486</v>
      </c>
      <c r="E3" s="230"/>
      <c r="F3" s="231" t="s">
        <v>487</v>
      </c>
      <c r="G3" s="232" t="s">
        <v>488</v>
      </c>
      <c r="H3" s="233">
        <v>590000</v>
      </c>
      <c r="I3" s="234">
        <v>610000</v>
      </c>
      <c r="J3" s="235">
        <v>2.5000000000000001E-2</v>
      </c>
      <c r="K3" s="236">
        <f t="shared" ref="K3:K34" si="0">IF(ISBLANK(A3),"",(I3*J3))</f>
        <v>15250</v>
      </c>
      <c r="L3" s="417">
        <v>0</v>
      </c>
      <c r="M3" s="236">
        <f>IF((ISBLANK(A3)),"",'Fee calc_closed Transactions'!F3)</f>
        <v>10370</v>
      </c>
      <c r="N3" s="237">
        <f>IF(K3="","",'Fee calc_closed Transactions'!G3)</f>
        <v>4880</v>
      </c>
      <c r="O3" s="238"/>
      <c r="P3" s="239">
        <f>IF(ISBLANK(A3),"0",I3)</f>
        <v>610000</v>
      </c>
      <c r="Q3" s="240">
        <f t="shared" ref="Q3:Q34" si="1">IF(MONTH(A3)=1,IF((ISBLANK(B3)),0,(M3)),"0")</f>
        <v>10370</v>
      </c>
      <c r="R3" s="241">
        <f t="shared" ref="R3:R34" si="2">IF(MONTH(A3)=1,IF((ISBLANK(C3)),0,(M3)),"0")</f>
        <v>0</v>
      </c>
      <c r="S3" s="242" t="str">
        <f t="shared" ref="S3:S34" si="3">IF(MONTH(A3)=2,IF((ISBLANK(B3)),0,(M3)),"0")</f>
        <v>0</v>
      </c>
      <c r="T3" s="241" t="str">
        <f t="shared" ref="T3:T34" si="4">IF(MONTH(A3)=2,IF((ISBLANK(C3)),0,(M3)),"0")</f>
        <v>0</v>
      </c>
      <c r="U3" s="242" t="str">
        <f t="shared" ref="U3:U34" si="5">IF(MONTH(A3)=3,IF((ISBLANK(B3)),0,(M3)),"0")</f>
        <v>0</v>
      </c>
      <c r="V3" s="241" t="str">
        <f t="shared" ref="V3:V34" si="6">IF(MONTH(A3)=3,IF((ISBLANK(C3)),0,(M3)),"0")</f>
        <v>0</v>
      </c>
      <c r="W3" s="242" t="str">
        <f t="shared" ref="W3:W34" si="7">IF(MONTH(A3)=4,IF((ISBLANK(B3)),0,(M3)),"0")</f>
        <v>0</v>
      </c>
      <c r="X3" s="241" t="str">
        <f t="shared" ref="X3:X34" si="8">IF(MONTH(A3)=4,IF((ISBLANK(C3)),0,(M3)),"0")</f>
        <v>0</v>
      </c>
      <c r="Y3" s="242" t="str">
        <f t="shared" ref="Y3:Y34" si="9">IF(MONTH(A3)=5,IF((ISBLANK(B3)),0,(M3)),"0")</f>
        <v>0</v>
      </c>
      <c r="Z3" s="241" t="str">
        <f t="shared" ref="Z3:Z34" si="10">IF(MONTH(A3)=5,IF((ISBLANK(C3)),0,(M3)),"0")</f>
        <v>0</v>
      </c>
      <c r="AA3" s="242" t="str">
        <f t="shared" ref="AA3:AA34" si="11">IF(MONTH(A3)=6,IF((ISBLANK(B3)),0,(M3)),"0")</f>
        <v>0</v>
      </c>
      <c r="AB3" s="241" t="str">
        <f t="shared" ref="AB3:AB34" si="12">IF(MONTH(A3)=6,IF((ISBLANK(C3)),0,(M3)),"0")</f>
        <v>0</v>
      </c>
      <c r="AC3" s="242" t="str">
        <f t="shared" ref="AC3:AC34" si="13">IF(MONTH(A3)=7,IF((ISBLANK(B3)),0,(M3)),"0")</f>
        <v>0</v>
      </c>
      <c r="AD3" s="241" t="str">
        <f t="shared" ref="AD3:AD34" si="14">IF(MONTH(A3)=7,IF((ISBLANK(C3)),0,(M3)),"0")</f>
        <v>0</v>
      </c>
      <c r="AE3" s="242" t="str">
        <f t="shared" ref="AE3:AE34" si="15">IF(MONTH(A3)=8,IF((ISBLANK(B3)),0,(M3)),"0")</f>
        <v>0</v>
      </c>
      <c r="AF3" s="241" t="str">
        <f t="shared" ref="AF3:AF34" si="16">IF(MONTH(A3)=8,IF((ISBLANK(C3)),0,(M3)),"0")</f>
        <v>0</v>
      </c>
      <c r="AG3" s="242" t="str">
        <f t="shared" ref="AG3:AG34" si="17">IF(MONTH(A3)=9,IF((ISBLANK(B3)),0,(M3)),"0")</f>
        <v>0</v>
      </c>
      <c r="AH3" s="241" t="str">
        <f t="shared" ref="AH3:AH34" si="18">IF(MONTH(A3)=9,IF((ISBLANK(C3)),0,(M3)),"0")</f>
        <v>0</v>
      </c>
      <c r="AI3" s="242" t="str">
        <f t="shared" ref="AI3:AI34" si="19">IF(MONTH(A3)=10,IF((ISBLANK(B3)),0,(M3)),"0")</f>
        <v>0</v>
      </c>
      <c r="AJ3" s="241" t="str">
        <f t="shared" ref="AJ3:AJ34" si="20">IF(MONTH(A3)=10,IF((ISBLANK(C3)),0,(M3)),"0")</f>
        <v>0</v>
      </c>
      <c r="AK3" s="242" t="str">
        <f t="shared" ref="AK3:AK34" si="21">IF(MONTH(A3)=11,IF((ISBLANK(B3)),0,(M3)),"0")</f>
        <v>0</v>
      </c>
      <c r="AL3" s="243" t="str">
        <f t="shared" ref="AL3:AL34" si="22">IF(MONTH(A3)=11,IF((ISBLANK(C3)),0,(M3)),"0")</f>
        <v>0</v>
      </c>
      <c r="AM3" s="242" t="str">
        <f t="shared" ref="AM3:AM34" si="23">IF(MONTH(A3)=12,IF((ISBLANK(B3)),0,(M3)),"0")</f>
        <v>0</v>
      </c>
      <c r="AN3" s="244" t="str">
        <f t="shared" ref="AN3:AN34" si="24">IF(MONTH(A3)=12,IF((ISBLANK(C3)),0,(M3)),"0")</f>
        <v>0</v>
      </c>
    </row>
    <row r="4" spans="1:40" x14ac:dyDescent="0.2">
      <c r="A4" s="246">
        <v>45706</v>
      </c>
      <c r="B4" s="247">
        <v>1</v>
      </c>
      <c r="C4" s="247"/>
      <c r="D4" s="248" t="s">
        <v>519</v>
      </c>
      <c r="E4" s="249"/>
      <c r="F4" s="250" t="s">
        <v>489</v>
      </c>
      <c r="G4" s="251" t="s">
        <v>532</v>
      </c>
      <c r="H4" s="252">
        <v>415900</v>
      </c>
      <c r="I4" s="234">
        <v>415900</v>
      </c>
      <c r="J4" s="235">
        <v>2.4044241404183701E-2</v>
      </c>
      <c r="K4" s="572">
        <f t="shared" si="0"/>
        <v>10000.000000000002</v>
      </c>
      <c r="L4" s="418">
        <v>0</v>
      </c>
      <c r="M4" s="236">
        <f>IF((ISBLANK(A4)),"",'Fee calc_closed Transactions'!F4)</f>
        <v>6880.0000000000018</v>
      </c>
      <c r="N4" s="237">
        <f>IF(K4="","",'Fee calc_closed Transactions'!G4)</f>
        <v>3120</v>
      </c>
      <c r="O4" s="238"/>
      <c r="P4" s="239">
        <f t="shared" ref="P4:P64" si="25">IF(ISBLANK(A4),"0",I4)</f>
        <v>415900</v>
      </c>
      <c r="Q4" s="240" t="str">
        <f t="shared" si="1"/>
        <v>0</v>
      </c>
      <c r="R4" s="256" t="str">
        <f t="shared" si="2"/>
        <v>0</v>
      </c>
      <c r="S4" s="257">
        <f t="shared" si="3"/>
        <v>6880.0000000000018</v>
      </c>
      <c r="T4" s="256">
        <f t="shared" si="4"/>
        <v>0</v>
      </c>
      <c r="U4" s="257" t="str">
        <f t="shared" si="5"/>
        <v>0</v>
      </c>
      <c r="V4" s="256" t="str">
        <f t="shared" si="6"/>
        <v>0</v>
      </c>
      <c r="W4" s="257" t="str">
        <f t="shared" si="7"/>
        <v>0</v>
      </c>
      <c r="X4" s="256" t="str">
        <f t="shared" si="8"/>
        <v>0</v>
      </c>
      <c r="Y4" s="257" t="str">
        <f t="shared" si="9"/>
        <v>0</v>
      </c>
      <c r="Z4" s="256" t="str">
        <f t="shared" si="10"/>
        <v>0</v>
      </c>
      <c r="AA4" s="257" t="str">
        <f t="shared" si="11"/>
        <v>0</v>
      </c>
      <c r="AB4" s="256" t="str">
        <f t="shared" si="12"/>
        <v>0</v>
      </c>
      <c r="AC4" s="257" t="str">
        <f t="shared" si="13"/>
        <v>0</v>
      </c>
      <c r="AD4" s="256" t="str">
        <f t="shared" si="14"/>
        <v>0</v>
      </c>
      <c r="AE4" s="257" t="str">
        <f t="shared" si="15"/>
        <v>0</v>
      </c>
      <c r="AF4" s="256" t="str">
        <f t="shared" si="16"/>
        <v>0</v>
      </c>
      <c r="AG4" s="257" t="str">
        <f t="shared" si="17"/>
        <v>0</v>
      </c>
      <c r="AH4" s="256" t="str">
        <f t="shared" si="18"/>
        <v>0</v>
      </c>
      <c r="AI4" s="257" t="str">
        <f t="shared" si="19"/>
        <v>0</v>
      </c>
      <c r="AJ4" s="256" t="str">
        <f t="shared" si="20"/>
        <v>0</v>
      </c>
      <c r="AK4" s="257" t="str">
        <f t="shared" si="21"/>
        <v>0</v>
      </c>
      <c r="AL4" s="258" t="str">
        <f t="shared" si="22"/>
        <v>0</v>
      </c>
      <c r="AM4" s="257" t="str">
        <f t="shared" si="23"/>
        <v>0</v>
      </c>
      <c r="AN4" s="255" t="str">
        <f t="shared" si="24"/>
        <v>0</v>
      </c>
    </row>
    <row r="5" spans="1:40" x14ac:dyDescent="0.2">
      <c r="A5" s="227">
        <v>45717</v>
      </c>
      <c r="B5" s="247">
        <v>1</v>
      </c>
      <c r="C5" s="247"/>
      <c r="D5" s="248" t="s">
        <v>530</v>
      </c>
      <c r="E5" s="249"/>
      <c r="F5" s="250" t="s">
        <v>531</v>
      </c>
      <c r="G5" s="259" t="s">
        <v>533</v>
      </c>
      <c r="H5" s="252">
        <v>2600</v>
      </c>
      <c r="I5" s="234">
        <v>2650</v>
      </c>
      <c r="J5" s="235">
        <v>0.25</v>
      </c>
      <c r="K5" s="572">
        <f t="shared" si="0"/>
        <v>662.5</v>
      </c>
      <c r="L5" s="418">
        <v>0</v>
      </c>
      <c r="M5" s="236">
        <f>IF((ISBLANK(A5)),"",'Fee calc_closed Transactions'!F5)</f>
        <v>563.125</v>
      </c>
      <c r="N5" s="237">
        <f>IF(K5="","",'Fee calc_closed Transactions'!G5)</f>
        <v>99.375000000000014</v>
      </c>
      <c r="O5" s="238"/>
      <c r="P5" s="239">
        <f t="shared" si="25"/>
        <v>2650</v>
      </c>
      <c r="Q5" s="240" t="str">
        <f t="shared" si="1"/>
        <v>0</v>
      </c>
      <c r="R5" s="256" t="str">
        <f t="shared" si="2"/>
        <v>0</v>
      </c>
      <c r="S5" s="257" t="str">
        <f t="shared" si="3"/>
        <v>0</v>
      </c>
      <c r="T5" s="256" t="str">
        <f t="shared" si="4"/>
        <v>0</v>
      </c>
      <c r="U5" s="257">
        <f t="shared" si="5"/>
        <v>563.125</v>
      </c>
      <c r="V5" s="256">
        <f t="shared" si="6"/>
        <v>0</v>
      </c>
      <c r="W5" s="257" t="str">
        <f t="shared" si="7"/>
        <v>0</v>
      </c>
      <c r="X5" s="256" t="str">
        <f t="shared" si="8"/>
        <v>0</v>
      </c>
      <c r="Y5" s="257" t="str">
        <f t="shared" si="9"/>
        <v>0</v>
      </c>
      <c r="Z5" s="256" t="str">
        <f t="shared" si="10"/>
        <v>0</v>
      </c>
      <c r="AA5" s="257" t="str">
        <f t="shared" si="11"/>
        <v>0</v>
      </c>
      <c r="AB5" s="256" t="str">
        <f t="shared" si="12"/>
        <v>0</v>
      </c>
      <c r="AC5" s="257" t="str">
        <f t="shared" si="13"/>
        <v>0</v>
      </c>
      <c r="AD5" s="256" t="str">
        <f t="shared" si="14"/>
        <v>0</v>
      </c>
      <c r="AE5" s="257" t="str">
        <f t="shared" si="15"/>
        <v>0</v>
      </c>
      <c r="AF5" s="256" t="str">
        <f t="shared" si="16"/>
        <v>0</v>
      </c>
      <c r="AG5" s="257" t="str">
        <f t="shared" si="17"/>
        <v>0</v>
      </c>
      <c r="AH5" s="256" t="str">
        <f t="shared" si="18"/>
        <v>0</v>
      </c>
      <c r="AI5" s="257" t="str">
        <f t="shared" si="19"/>
        <v>0</v>
      </c>
      <c r="AJ5" s="256" t="str">
        <f t="shared" si="20"/>
        <v>0</v>
      </c>
      <c r="AK5" s="257" t="str">
        <f t="shared" si="21"/>
        <v>0</v>
      </c>
      <c r="AL5" s="258" t="str">
        <f t="shared" si="22"/>
        <v>0</v>
      </c>
      <c r="AM5" s="257" t="str">
        <f t="shared" si="23"/>
        <v>0</v>
      </c>
      <c r="AN5" s="255" t="str">
        <f t="shared" si="24"/>
        <v>0</v>
      </c>
    </row>
    <row r="6" spans="1:40" x14ac:dyDescent="0.2">
      <c r="A6" s="246">
        <v>45724</v>
      </c>
      <c r="B6" s="247">
        <v>1</v>
      </c>
      <c r="C6" s="247">
        <v>1</v>
      </c>
      <c r="D6" s="248" t="s">
        <v>534</v>
      </c>
      <c r="E6" s="249"/>
      <c r="F6" s="250" t="s">
        <v>535</v>
      </c>
      <c r="G6" s="251" t="s">
        <v>536</v>
      </c>
      <c r="H6" s="260">
        <v>2995</v>
      </c>
      <c r="I6" s="234">
        <v>2995</v>
      </c>
      <c r="J6" s="235">
        <v>1</v>
      </c>
      <c r="K6" s="572">
        <f t="shared" si="0"/>
        <v>2995</v>
      </c>
      <c r="L6" s="418">
        <v>749</v>
      </c>
      <c r="M6" s="236">
        <f>IF((ISBLANK(A6)),"",'Fee calc_closed Transactions'!F6)</f>
        <v>1909.1</v>
      </c>
      <c r="N6" s="237">
        <f>IF(K6="","",'Fee calc_closed Transactions'!G6)</f>
        <v>336.90000000000003</v>
      </c>
      <c r="O6" s="238"/>
      <c r="P6" s="239">
        <f t="shared" si="25"/>
        <v>2995</v>
      </c>
      <c r="Q6" s="240" t="str">
        <f t="shared" si="1"/>
        <v>0</v>
      </c>
      <c r="R6" s="256" t="str">
        <f t="shared" si="2"/>
        <v>0</v>
      </c>
      <c r="S6" s="257" t="str">
        <f t="shared" si="3"/>
        <v>0</v>
      </c>
      <c r="T6" s="256" t="str">
        <f t="shared" si="4"/>
        <v>0</v>
      </c>
      <c r="U6" s="257">
        <f t="shared" si="5"/>
        <v>1909.1</v>
      </c>
      <c r="V6" s="256">
        <f t="shared" si="6"/>
        <v>1909.1</v>
      </c>
      <c r="W6" s="257" t="str">
        <f t="shared" si="7"/>
        <v>0</v>
      </c>
      <c r="X6" s="256" t="str">
        <f t="shared" si="8"/>
        <v>0</v>
      </c>
      <c r="Y6" s="257" t="str">
        <f t="shared" si="9"/>
        <v>0</v>
      </c>
      <c r="Z6" s="256" t="str">
        <f t="shared" si="10"/>
        <v>0</v>
      </c>
      <c r="AA6" s="257" t="str">
        <f t="shared" si="11"/>
        <v>0</v>
      </c>
      <c r="AB6" s="256" t="str">
        <f t="shared" si="12"/>
        <v>0</v>
      </c>
      <c r="AC6" s="257" t="str">
        <f t="shared" si="13"/>
        <v>0</v>
      </c>
      <c r="AD6" s="256" t="str">
        <f t="shared" si="14"/>
        <v>0</v>
      </c>
      <c r="AE6" s="257" t="str">
        <f t="shared" si="15"/>
        <v>0</v>
      </c>
      <c r="AF6" s="256" t="str">
        <f t="shared" si="16"/>
        <v>0</v>
      </c>
      <c r="AG6" s="257" t="str">
        <f t="shared" si="17"/>
        <v>0</v>
      </c>
      <c r="AH6" s="256" t="str">
        <f t="shared" si="18"/>
        <v>0</v>
      </c>
      <c r="AI6" s="257" t="str">
        <f t="shared" si="19"/>
        <v>0</v>
      </c>
      <c r="AJ6" s="256" t="str">
        <f t="shared" si="20"/>
        <v>0</v>
      </c>
      <c r="AK6" s="257" t="str">
        <f t="shared" si="21"/>
        <v>0</v>
      </c>
      <c r="AL6" s="258" t="str">
        <f t="shared" si="22"/>
        <v>0</v>
      </c>
      <c r="AM6" s="257" t="str">
        <f t="shared" si="23"/>
        <v>0</v>
      </c>
      <c r="AN6" s="255" t="str">
        <f t="shared" si="24"/>
        <v>0</v>
      </c>
    </row>
    <row r="7" spans="1:40" x14ac:dyDescent="0.2">
      <c r="A7" s="227">
        <v>45757</v>
      </c>
      <c r="B7" s="247">
        <v>1</v>
      </c>
      <c r="C7" s="247"/>
      <c r="D7" s="248" t="s">
        <v>537</v>
      </c>
      <c r="E7" s="249" t="s">
        <v>538</v>
      </c>
      <c r="F7" s="250" t="s">
        <v>539</v>
      </c>
      <c r="G7" s="251" t="s">
        <v>540</v>
      </c>
      <c r="H7" s="252">
        <v>750000</v>
      </c>
      <c r="I7" s="234">
        <v>750000</v>
      </c>
      <c r="J7" s="235">
        <v>0.03</v>
      </c>
      <c r="K7" s="572">
        <f t="shared" si="0"/>
        <v>22500</v>
      </c>
      <c r="L7" s="418"/>
      <c r="M7" s="236">
        <f>IF((ISBLANK(A7)),"",'Fee calc_closed Transactions'!F7)</f>
        <v>19125</v>
      </c>
      <c r="N7" s="237">
        <f>IF(K7="","",'Fee calc_closed Transactions'!G7)</f>
        <v>3375.0000000000005</v>
      </c>
      <c r="O7" s="238"/>
      <c r="P7" s="239">
        <f t="shared" si="25"/>
        <v>750000</v>
      </c>
      <c r="Q7" s="240" t="str">
        <f t="shared" si="1"/>
        <v>0</v>
      </c>
      <c r="R7" s="256" t="str">
        <f t="shared" si="2"/>
        <v>0</v>
      </c>
      <c r="S7" s="257" t="str">
        <f t="shared" si="3"/>
        <v>0</v>
      </c>
      <c r="T7" s="256" t="str">
        <f t="shared" si="4"/>
        <v>0</v>
      </c>
      <c r="U7" s="257" t="str">
        <f t="shared" si="5"/>
        <v>0</v>
      </c>
      <c r="V7" s="256" t="str">
        <f t="shared" si="6"/>
        <v>0</v>
      </c>
      <c r="W7" s="257">
        <f t="shared" si="7"/>
        <v>19125</v>
      </c>
      <c r="X7" s="256">
        <f t="shared" si="8"/>
        <v>0</v>
      </c>
      <c r="Y7" s="257" t="str">
        <f t="shared" si="9"/>
        <v>0</v>
      </c>
      <c r="Z7" s="256" t="str">
        <f t="shared" si="10"/>
        <v>0</v>
      </c>
      <c r="AA7" s="257" t="str">
        <f t="shared" si="11"/>
        <v>0</v>
      </c>
      <c r="AB7" s="256" t="str">
        <f t="shared" si="12"/>
        <v>0</v>
      </c>
      <c r="AC7" s="257" t="str">
        <f t="shared" si="13"/>
        <v>0</v>
      </c>
      <c r="AD7" s="256" t="str">
        <f t="shared" si="14"/>
        <v>0</v>
      </c>
      <c r="AE7" s="257" t="str">
        <f t="shared" si="15"/>
        <v>0</v>
      </c>
      <c r="AF7" s="256" t="str">
        <f t="shared" si="16"/>
        <v>0</v>
      </c>
      <c r="AG7" s="257" t="str">
        <f t="shared" si="17"/>
        <v>0</v>
      </c>
      <c r="AH7" s="256" t="str">
        <f t="shared" si="18"/>
        <v>0</v>
      </c>
      <c r="AI7" s="257" t="str">
        <f t="shared" si="19"/>
        <v>0</v>
      </c>
      <c r="AJ7" s="256" t="str">
        <f t="shared" si="20"/>
        <v>0</v>
      </c>
      <c r="AK7" s="257" t="str">
        <f t="shared" si="21"/>
        <v>0</v>
      </c>
      <c r="AL7" s="258" t="str">
        <f t="shared" si="22"/>
        <v>0</v>
      </c>
      <c r="AM7" s="257" t="str">
        <f t="shared" si="23"/>
        <v>0</v>
      </c>
      <c r="AN7" s="255" t="str">
        <f t="shared" si="24"/>
        <v>0</v>
      </c>
    </row>
    <row r="8" spans="1:40" x14ac:dyDescent="0.2">
      <c r="A8" s="246">
        <v>45758</v>
      </c>
      <c r="B8" s="247"/>
      <c r="C8" s="247">
        <v>1</v>
      </c>
      <c r="D8" s="248" t="s">
        <v>541</v>
      </c>
      <c r="E8" s="249"/>
      <c r="F8" s="250" t="s">
        <v>542</v>
      </c>
      <c r="G8" s="251" t="s">
        <v>543</v>
      </c>
      <c r="H8" s="252">
        <v>1350000</v>
      </c>
      <c r="I8" s="234">
        <v>1300000</v>
      </c>
      <c r="J8" s="235">
        <v>0.03</v>
      </c>
      <c r="K8" s="572">
        <f t="shared" si="0"/>
        <v>39000</v>
      </c>
      <c r="L8" s="418"/>
      <c r="M8" s="236">
        <f>IF((ISBLANK(A8)),"",'Fee calc_closed Transactions'!F8)</f>
        <v>33150</v>
      </c>
      <c r="N8" s="237">
        <f>IF(K8="","",'Fee calc_closed Transactions'!G8)</f>
        <v>5850.0000000000009</v>
      </c>
      <c r="O8" s="238"/>
      <c r="P8" s="239">
        <f t="shared" si="25"/>
        <v>1300000</v>
      </c>
      <c r="Q8" s="240" t="str">
        <f t="shared" si="1"/>
        <v>0</v>
      </c>
      <c r="R8" s="256" t="str">
        <f t="shared" si="2"/>
        <v>0</v>
      </c>
      <c r="S8" s="257" t="str">
        <f t="shared" si="3"/>
        <v>0</v>
      </c>
      <c r="T8" s="256" t="str">
        <f t="shared" si="4"/>
        <v>0</v>
      </c>
      <c r="U8" s="257" t="str">
        <f t="shared" si="5"/>
        <v>0</v>
      </c>
      <c r="V8" s="256" t="str">
        <f t="shared" si="6"/>
        <v>0</v>
      </c>
      <c r="W8" s="257">
        <f t="shared" si="7"/>
        <v>0</v>
      </c>
      <c r="X8" s="256">
        <f t="shared" si="8"/>
        <v>33150</v>
      </c>
      <c r="Y8" s="257" t="str">
        <f t="shared" si="9"/>
        <v>0</v>
      </c>
      <c r="Z8" s="256" t="str">
        <f t="shared" si="10"/>
        <v>0</v>
      </c>
      <c r="AA8" s="257" t="str">
        <f t="shared" si="11"/>
        <v>0</v>
      </c>
      <c r="AB8" s="256" t="str">
        <f t="shared" si="12"/>
        <v>0</v>
      </c>
      <c r="AC8" s="257" t="str">
        <f t="shared" si="13"/>
        <v>0</v>
      </c>
      <c r="AD8" s="256" t="str">
        <f t="shared" si="14"/>
        <v>0</v>
      </c>
      <c r="AE8" s="257" t="str">
        <f t="shared" si="15"/>
        <v>0</v>
      </c>
      <c r="AF8" s="256" t="str">
        <f t="shared" si="16"/>
        <v>0</v>
      </c>
      <c r="AG8" s="257" t="str">
        <f t="shared" si="17"/>
        <v>0</v>
      </c>
      <c r="AH8" s="256" t="str">
        <f t="shared" si="18"/>
        <v>0</v>
      </c>
      <c r="AI8" s="257" t="str">
        <f t="shared" si="19"/>
        <v>0</v>
      </c>
      <c r="AJ8" s="256" t="str">
        <f t="shared" si="20"/>
        <v>0</v>
      </c>
      <c r="AK8" s="257" t="str">
        <f t="shared" si="21"/>
        <v>0</v>
      </c>
      <c r="AL8" s="258" t="str">
        <f t="shared" si="22"/>
        <v>0</v>
      </c>
      <c r="AM8" s="257" t="str">
        <f t="shared" si="23"/>
        <v>0</v>
      </c>
      <c r="AN8" s="255" t="str">
        <f t="shared" si="24"/>
        <v>0</v>
      </c>
    </row>
    <row r="9" spans="1:40" x14ac:dyDescent="0.2">
      <c r="A9" s="227">
        <v>45828</v>
      </c>
      <c r="B9" s="228">
        <v>1</v>
      </c>
      <c r="C9" s="228">
        <v>1</v>
      </c>
      <c r="D9" s="229" t="s">
        <v>554</v>
      </c>
      <c r="E9" s="230"/>
      <c r="F9" s="231" t="s">
        <v>555</v>
      </c>
      <c r="G9" s="232" t="s">
        <v>556</v>
      </c>
      <c r="H9" s="233"/>
      <c r="I9" s="234">
        <v>390000</v>
      </c>
      <c r="J9" s="235">
        <v>7.4999999999999997E-3</v>
      </c>
      <c r="K9" s="236">
        <f t="shared" si="0"/>
        <v>2925</v>
      </c>
      <c r="L9" s="417"/>
      <c r="M9" s="236">
        <f>IF((ISBLANK(A9)),"",'Fee calc_closed Transactions'!F9)</f>
        <v>2486.25</v>
      </c>
      <c r="N9" s="237">
        <f>IF(K9="","",'Fee calc_closed Transactions'!G9)</f>
        <v>438.75000000000006</v>
      </c>
      <c r="O9" s="238"/>
      <c r="P9" s="239">
        <f t="shared" si="25"/>
        <v>390000</v>
      </c>
      <c r="Q9" s="240" t="str">
        <f t="shared" si="1"/>
        <v>0</v>
      </c>
      <c r="R9" s="256" t="str">
        <f t="shared" si="2"/>
        <v>0</v>
      </c>
      <c r="S9" s="257" t="str">
        <f t="shared" si="3"/>
        <v>0</v>
      </c>
      <c r="T9" s="256" t="str">
        <f t="shared" si="4"/>
        <v>0</v>
      </c>
      <c r="U9" s="257" t="str">
        <f t="shared" si="5"/>
        <v>0</v>
      </c>
      <c r="V9" s="256" t="str">
        <f t="shared" si="6"/>
        <v>0</v>
      </c>
      <c r="W9" s="257" t="str">
        <f t="shared" si="7"/>
        <v>0</v>
      </c>
      <c r="X9" s="256" t="str">
        <f t="shared" si="8"/>
        <v>0</v>
      </c>
      <c r="Y9" s="257" t="str">
        <f t="shared" si="9"/>
        <v>0</v>
      </c>
      <c r="Z9" s="256" t="str">
        <f t="shared" si="10"/>
        <v>0</v>
      </c>
      <c r="AA9" s="257">
        <f t="shared" si="11"/>
        <v>2486.25</v>
      </c>
      <c r="AB9" s="256">
        <f t="shared" si="12"/>
        <v>2486.25</v>
      </c>
      <c r="AC9" s="257" t="str">
        <f t="shared" si="13"/>
        <v>0</v>
      </c>
      <c r="AD9" s="256" t="str">
        <f t="shared" si="14"/>
        <v>0</v>
      </c>
      <c r="AE9" s="257" t="str">
        <f t="shared" si="15"/>
        <v>0</v>
      </c>
      <c r="AF9" s="256" t="str">
        <f t="shared" si="16"/>
        <v>0</v>
      </c>
      <c r="AG9" s="257" t="str">
        <f t="shared" si="17"/>
        <v>0</v>
      </c>
      <c r="AH9" s="256" t="str">
        <f t="shared" si="18"/>
        <v>0</v>
      </c>
      <c r="AI9" s="257" t="str">
        <f t="shared" si="19"/>
        <v>0</v>
      </c>
      <c r="AJ9" s="256" t="str">
        <f t="shared" si="20"/>
        <v>0</v>
      </c>
      <c r="AK9" s="257" t="str">
        <f t="shared" si="21"/>
        <v>0</v>
      </c>
      <c r="AL9" s="258" t="str">
        <f t="shared" si="22"/>
        <v>0</v>
      </c>
      <c r="AM9" s="257" t="str">
        <f t="shared" si="23"/>
        <v>0</v>
      </c>
      <c r="AN9" s="255" t="str">
        <f t="shared" si="24"/>
        <v>0</v>
      </c>
    </row>
    <row r="10" spans="1:40" x14ac:dyDescent="0.2">
      <c r="A10" s="246">
        <v>45838</v>
      </c>
      <c r="B10" s="247"/>
      <c r="C10" s="247">
        <v>1</v>
      </c>
      <c r="D10" s="248" t="s">
        <v>551</v>
      </c>
      <c r="E10" s="249"/>
      <c r="F10" s="250" t="s">
        <v>552</v>
      </c>
      <c r="G10" s="251" t="s">
        <v>553</v>
      </c>
      <c r="H10" s="252">
        <v>345000</v>
      </c>
      <c r="I10" s="253">
        <v>365000</v>
      </c>
      <c r="J10" s="254">
        <v>0</v>
      </c>
      <c r="K10" s="572">
        <f t="shared" si="0"/>
        <v>0</v>
      </c>
      <c r="L10" s="418"/>
      <c r="M10" s="236">
        <f>IF((ISBLANK(A10)),"",'Fee calc_closed Transactions'!F10)</f>
        <v>0</v>
      </c>
      <c r="N10" s="237">
        <f>IF(K10="","",'Fee calc_closed Transactions'!G10)</f>
        <v>0</v>
      </c>
      <c r="O10" s="238"/>
      <c r="P10" s="239">
        <f t="shared" si="25"/>
        <v>365000</v>
      </c>
      <c r="Q10" s="240" t="str">
        <f t="shared" si="1"/>
        <v>0</v>
      </c>
      <c r="R10" s="256" t="str">
        <f t="shared" si="2"/>
        <v>0</v>
      </c>
      <c r="S10" s="257" t="str">
        <f t="shared" si="3"/>
        <v>0</v>
      </c>
      <c r="T10" s="256" t="str">
        <f t="shared" si="4"/>
        <v>0</v>
      </c>
      <c r="U10" s="257" t="str">
        <f t="shared" si="5"/>
        <v>0</v>
      </c>
      <c r="V10" s="256" t="str">
        <f t="shared" si="6"/>
        <v>0</v>
      </c>
      <c r="W10" s="257" t="str">
        <f t="shared" si="7"/>
        <v>0</v>
      </c>
      <c r="X10" s="256" t="str">
        <f t="shared" si="8"/>
        <v>0</v>
      </c>
      <c r="Y10" s="257" t="str">
        <f t="shared" si="9"/>
        <v>0</v>
      </c>
      <c r="Z10" s="256" t="str">
        <f t="shared" si="10"/>
        <v>0</v>
      </c>
      <c r="AA10" s="257">
        <f t="shared" si="11"/>
        <v>0</v>
      </c>
      <c r="AB10" s="256">
        <f t="shared" si="12"/>
        <v>0</v>
      </c>
      <c r="AC10" s="257" t="str">
        <f t="shared" si="13"/>
        <v>0</v>
      </c>
      <c r="AD10" s="256" t="str">
        <f t="shared" si="14"/>
        <v>0</v>
      </c>
      <c r="AE10" s="257" t="str">
        <f t="shared" si="15"/>
        <v>0</v>
      </c>
      <c r="AF10" s="256" t="str">
        <f t="shared" si="16"/>
        <v>0</v>
      </c>
      <c r="AG10" s="257" t="str">
        <f t="shared" si="17"/>
        <v>0</v>
      </c>
      <c r="AH10" s="256" t="str">
        <f t="shared" si="18"/>
        <v>0</v>
      </c>
      <c r="AI10" s="257" t="str">
        <f t="shared" si="19"/>
        <v>0</v>
      </c>
      <c r="AJ10" s="256" t="str">
        <f t="shared" si="20"/>
        <v>0</v>
      </c>
      <c r="AK10" s="257" t="str">
        <f t="shared" si="21"/>
        <v>0</v>
      </c>
      <c r="AL10" s="258" t="str">
        <f t="shared" si="22"/>
        <v>0</v>
      </c>
      <c r="AM10" s="257" t="str">
        <f t="shared" si="23"/>
        <v>0</v>
      </c>
      <c r="AN10" s="255" t="str">
        <f t="shared" si="24"/>
        <v>0</v>
      </c>
    </row>
    <row r="11" spans="1:40" x14ac:dyDescent="0.2">
      <c r="A11" s="246">
        <v>45839</v>
      </c>
      <c r="B11" s="247">
        <v>1</v>
      </c>
      <c r="C11" s="247"/>
      <c r="D11" s="248" t="s">
        <v>486</v>
      </c>
      <c r="E11" s="249"/>
      <c r="F11" s="250" t="s">
        <v>558</v>
      </c>
      <c r="G11" s="259" t="s">
        <v>559</v>
      </c>
      <c r="H11" s="252">
        <v>2195</v>
      </c>
      <c r="I11" s="253">
        <v>2195</v>
      </c>
      <c r="J11" s="254">
        <v>0.25</v>
      </c>
      <c r="K11" s="572">
        <f t="shared" si="0"/>
        <v>548.75</v>
      </c>
      <c r="L11" s="418"/>
      <c r="M11" s="236">
        <f>IF((ISBLANK(A11)),"",'Fee calc_closed Transactions'!F11)</f>
        <v>466.4375</v>
      </c>
      <c r="N11" s="237">
        <f>IF(K11="","",'Fee calc_closed Transactions'!G11)</f>
        <v>82.312500000000014</v>
      </c>
      <c r="O11" s="238"/>
      <c r="P11" s="239">
        <f t="shared" si="25"/>
        <v>2195</v>
      </c>
      <c r="Q11" s="240" t="str">
        <f t="shared" si="1"/>
        <v>0</v>
      </c>
      <c r="R11" s="256" t="str">
        <f t="shared" si="2"/>
        <v>0</v>
      </c>
      <c r="S11" s="257" t="str">
        <f t="shared" si="3"/>
        <v>0</v>
      </c>
      <c r="T11" s="256" t="str">
        <f t="shared" si="4"/>
        <v>0</v>
      </c>
      <c r="U11" s="257" t="str">
        <f t="shared" si="5"/>
        <v>0</v>
      </c>
      <c r="V11" s="256" t="str">
        <f t="shared" si="6"/>
        <v>0</v>
      </c>
      <c r="W11" s="257" t="str">
        <f t="shared" si="7"/>
        <v>0</v>
      </c>
      <c r="X11" s="256" t="str">
        <f t="shared" si="8"/>
        <v>0</v>
      </c>
      <c r="Y11" s="257" t="str">
        <f t="shared" si="9"/>
        <v>0</v>
      </c>
      <c r="Z11" s="256" t="str">
        <f t="shared" si="10"/>
        <v>0</v>
      </c>
      <c r="AA11" s="257" t="str">
        <f t="shared" si="11"/>
        <v>0</v>
      </c>
      <c r="AB11" s="256" t="str">
        <f t="shared" si="12"/>
        <v>0</v>
      </c>
      <c r="AC11" s="257">
        <f t="shared" si="13"/>
        <v>466.4375</v>
      </c>
      <c r="AD11" s="256">
        <f t="shared" si="14"/>
        <v>0</v>
      </c>
      <c r="AE11" s="257" t="str">
        <f t="shared" si="15"/>
        <v>0</v>
      </c>
      <c r="AF11" s="256" t="str">
        <f t="shared" si="16"/>
        <v>0</v>
      </c>
      <c r="AG11" s="257" t="str">
        <f t="shared" si="17"/>
        <v>0</v>
      </c>
      <c r="AH11" s="256" t="str">
        <f t="shared" si="18"/>
        <v>0</v>
      </c>
      <c r="AI11" s="257" t="str">
        <f t="shared" si="19"/>
        <v>0</v>
      </c>
      <c r="AJ11" s="256" t="str">
        <f t="shared" si="20"/>
        <v>0</v>
      </c>
      <c r="AK11" s="257" t="str">
        <f t="shared" si="21"/>
        <v>0</v>
      </c>
      <c r="AL11" s="258" t="str">
        <f t="shared" si="22"/>
        <v>0</v>
      </c>
      <c r="AM11" s="257" t="str">
        <f t="shared" si="23"/>
        <v>0</v>
      </c>
      <c r="AN11" s="255" t="str">
        <f t="shared" si="24"/>
        <v>0</v>
      </c>
    </row>
    <row r="12" spans="1:40" x14ac:dyDescent="0.2">
      <c r="A12" s="246">
        <v>45839</v>
      </c>
      <c r="B12" s="247">
        <v>1</v>
      </c>
      <c r="C12" s="247"/>
      <c r="D12" s="248" t="s">
        <v>560</v>
      </c>
      <c r="E12" s="249"/>
      <c r="F12" s="250" t="s">
        <v>561</v>
      </c>
      <c r="G12" s="251" t="s">
        <v>565</v>
      </c>
      <c r="H12" s="260">
        <v>3150</v>
      </c>
      <c r="I12" s="253">
        <v>3150</v>
      </c>
      <c r="J12" s="254">
        <v>0</v>
      </c>
      <c r="K12" s="572">
        <f t="shared" si="0"/>
        <v>0</v>
      </c>
      <c r="L12" s="418"/>
      <c r="M12" s="236">
        <f>IF((ISBLANK(A12)),"",'Fee calc_closed Transactions'!F12)</f>
        <v>0</v>
      </c>
      <c r="N12" s="237">
        <f>IF(K12="","",'Fee calc_closed Transactions'!G12)</f>
        <v>0</v>
      </c>
      <c r="O12" s="238"/>
      <c r="P12" s="239">
        <f t="shared" si="25"/>
        <v>3150</v>
      </c>
      <c r="Q12" s="240" t="str">
        <f t="shared" si="1"/>
        <v>0</v>
      </c>
      <c r="R12" s="256" t="str">
        <f t="shared" si="2"/>
        <v>0</v>
      </c>
      <c r="S12" s="257" t="str">
        <f t="shared" si="3"/>
        <v>0</v>
      </c>
      <c r="T12" s="256" t="str">
        <f t="shared" si="4"/>
        <v>0</v>
      </c>
      <c r="U12" s="257" t="str">
        <f t="shared" si="5"/>
        <v>0</v>
      </c>
      <c r="V12" s="256" t="str">
        <f t="shared" si="6"/>
        <v>0</v>
      </c>
      <c r="W12" s="257" t="str">
        <f t="shared" si="7"/>
        <v>0</v>
      </c>
      <c r="X12" s="256" t="str">
        <f t="shared" si="8"/>
        <v>0</v>
      </c>
      <c r="Y12" s="257" t="str">
        <f t="shared" si="9"/>
        <v>0</v>
      </c>
      <c r="Z12" s="256" t="str">
        <f t="shared" si="10"/>
        <v>0</v>
      </c>
      <c r="AA12" s="257" t="str">
        <f t="shared" si="11"/>
        <v>0</v>
      </c>
      <c r="AB12" s="256" t="str">
        <f t="shared" si="12"/>
        <v>0</v>
      </c>
      <c r="AC12" s="257">
        <f t="shared" si="13"/>
        <v>0</v>
      </c>
      <c r="AD12" s="256">
        <f t="shared" si="14"/>
        <v>0</v>
      </c>
      <c r="AE12" s="257" t="str">
        <f t="shared" si="15"/>
        <v>0</v>
      </c>
      <c r="AF12" s="256" t="str">
        <f t="shared" si="16"/>
        <v>0</v>
      </c>
      <c r="AG12" s="257" t="str">
        <f t="shared" si="17"/>
        <v>0</v>
      </c>
      <c r="AH12" s="256" t="str">
        <f t="shared" si="18"/>
        <v>0</v>
      </c>
      <c r="AI12" s="257" t="str">
        <f t="shared" si="19"/>
        <v>0</v>
      </c>
      <c r="AJ12" s="256" t="str">
        <f t="shared" si="20"/>
        <v>0</v>
      </c>
      <c r="AK12" s="257" t="str">
        <f t="shared" si="21"/>
        <v>0</v>
      </c>
      <c r="AL12" s="258" t="str">
        <f t="shared" si="22"/>
        <v>0</v>
      </c>
      <c r="AM12" s="257" t="str">
        <f t="shared" si="23"/>
        <v>0</v>
      </c>
      <c r="AN12" s="255" t="str">
        <f t="shared" si="24"/>
        <v>0</v>
      </c>
    </row>
    <row r="13" spans="1:40" x14ac:dyDescent="0.2">
      <c r="A13" s="246">
        <v>45845</v>
      </c>
      <c r="B13" s="247">
        <v>1</v>
      </c>
      <c r="C13" s="247"/>
      <c r="D13" s="248" t="s">
        <v>541</v>
      </c>
      <c r="E13" s="249"/>
      <c r="F13" s="250" t="s">
        <v>591</v>
      </c>
      <c r="G13" s="251" t="s">
        <v>562</v>
      </c>
      <c r="H13" s="252">
        <v>2400</v>
      </c>
      <c r="I13" s="253">
        <v>2400</v>
      </c>
      <c r="J13" s="254">
        <v>0.25</v>
      </c>
      <c r="K13" s="572">
        <f t="shared" si="0"/>
        <v>600</v>
      </c>
      <c r="L13" s="418"/>
      <c r="M13" s="236">
        <f>IF((ISBLANK(A13)),"",'Fee calc_closed Transactions'!F13)</f>
        <v>510</v>
      </c>
      <c r="N13" s="237">
        <f>IF(K13="","",'Fee calc_closed Transactions'!G13)</f>
        <v>90.000000000000014</v>
      </c>
      <c r="O13" s="238"/>
      <c r="P13" s="239">
        <f t="shared" si="25"/>
        <v>2400</v>
      </c>
      <c r="Q13" s="240" t="str">
        <f t="shared" si="1"/>
        <v>0</v>
      </c>
      <c r="R13" s="256" t="str">
        <f t="shared" si="2"/>
        <v>0</v>
      </c>
      <c r="S13" s="257" t="str">
        <f t="shared" si="3"/>
        <v>0</v>
      </c>
      <c r="T13" s="256" t="str">
        <f t="shared" si="4"/>
        <v>0</v>
      </c>
      <c r="U13" s="257" t="str">
        <f t="shared" si="5"/>
        <v>0</v>
      </c>
      <c r="V13" s="256" t="str">
        <f t="shared" si="6"/>
        <v>0</v>
      </c>
      <c r="W13" s="257" t="str">
        <f t="shared" si="7"/>
        <v>0</v>
      </c>
      <c r="X13" s="256" t="str">
        <f t="shared" si="8"/>
        <v>0</v>
      </c>
      <c r="Y13" s="257" t="str">
        <f t="shared" si="9"/>
        <v>0</v>
      </c>
      <c r="Z13" s="256" t="str">
        <f t="shared" si="10"/>
        <v>0</v>
      </c>
      <c r="AA13" s="257" t="str">
        <f t="shared" si="11"/>
        <v>0</v>
      </c>
      <c r="AB13" s="256" t="str">
        <f t="shared" si="12"/>
        <v>0</v>
      </c>
      <c r="AC13" s="257">
        <f t="shared" si="13"/>
        <v>510</v>
      </c>
      <c r="AD13" s="256">
        <f t="shared" si="14"/>
        <v>0</v>
      </c>
      <c r="AE13" s="257" t="str">
        <f t="shared" si="15"/>
        <v>0</v>
      </c>
      <c r="AF13" s="256" t="str">
        <f t="shared" si="16"/>
        <v>0</v>
      </c>
      <c r="AG13" s="257" t="str">
        <f t="shared" si="17"/>
        <v>0</v>
      </c>
      <c r="AH13" s="256" t="str">
        <f t="shared" si="18"/>
        <v>0</v>
      </c>
      <c r="AI13" s="257" t="str">
        <f t="shared" si="19"/>
        <v>0</v>
      </c>
      <c r="AJ13" s="256" t="str">
        <f t="shared" si="20"/>
        <v>0</v>
      </c>
      <c r="AK13" s="257" t="str">
        <f t="shared" si="21"/>
        <v>0</v>
      </c>
      <c r="AL13" s="258" t="str">
        <f t="shared" si="22"/>
        <v>0</v>
      </c>
      <c r="AM13" s="257" t="str">
        <f t="shared" si="23"/>
        <v>0</v>
      </c>
      <c r="AN13" s="255" t="str">
        <f t="shared" si="24"/>
        <v>0</v>
      </c>
    </row>
    <row r="14" spans="1:40" x14ac:dyDescent="0.2">
      <c r="A14" s="246">
        <v>45853</v>
      </c>
      <c r="B14" s="247">
        <v>1</v>
      </c>
      <c r="C14" s="247"/>
      <c r="D14" s="248" t="s">
        <v>563</v>
      </c>
      <c r="E14" s="249"/>
      <c r="F14" s="250" t="s">
        <v>544</v>
      </c>
      <c r="G14" s="251" t="s">
        <v>564</v>
      </c>
      <c r="H14" s="252">
        <v>665280</v>
      </c>
      <c r="I14" s="253">
        <v>665280</v>
      </c>
      <c r="J14" s="254">
        <v>9.0187600000000007E-3</v>
      </c>
      <c r="K14" s="572">
        <f t="shared" si="0"/>
        <v>6000.0006528000004</v>
      </c>
      <c r="L14" s="418">
        <v>1800</v>
      </c>
      <c r="M14" s="236">
        <f>IF((ISBLANK(A14)),"",'Fee calc_closed Transactions'!F14)</f>
        <v>3570.00055488</v>
      </c>
      <c r="N14" s="237">
        <f>IF(K14="","",'Fee calc_closed Transactions'!G14)</f>
        <v>630.00009792000014</v>
      </c>
      <c r="O14" s="238"/>
      <c r="P14" s="239">
        <f t="shared" si="25"/>
        <v>665280</v>
      </c>
      <c r="Q14" s="240" t="str">
        <f t="shared" si="1"/>
        <v>0</v>
      </c>
      <c r="R14" s="256" t="str">
        <f t="shared" si="2"/>
        <v>0</v>
      </c>
      <c r="S14" s="257" t="str">
        <f t="shared" si="3"/>
        <v>0</v>
      </c>
      <c r="T14" s="256" t="str">
        <f t="shared" si="4"/>
        <v>0</v>
      </c>
      <c r="U14" s="257" t="str">
        <f t="shared" si="5"/>
        <v>0</v>
      </c>
      <c r="V14" s="256" t="str">
        <f t="shared" si="6"/>
        <v>0</v>
      </c>
      <c r="W14" s="257" t="str">
        <f t="shared" si="7"/>
        <v>0</v>
      </c>
      <c r="X14" s="256" t="str">
        <f t="shared" si="8"/>
        <v>0</v>
      </c>
      <c r="Y14" s="257" t="str">
        <f t="shared" si="9"/>
        <v>0</v>
      </c>
      <c r="Z14" s="256" t="str">
        <f t="shared" si="10"/>
        <v>0</v>
      </c>
      <c r="AA14" s="257" t="str">
        <f t="shared" si="11"/>
        <v>0</v>
      </c>
      <c r="AB14" s="256" t="str">
        <f t="shared" si="12"/>
        <v>0</v>
      </c>
      <c r="AC14" s="257">
        <f t="shared" si="13"/>
        <v>3570.00055488</v>
      </c>
      <c r="AD14" s="256">
        <f t="shared" si="14"/>
        <v>0</v>
      </c>
      <c r="AE14" s="257" t="str">
        <f t="shared" si="15"/>
        <v>0</v>
      </c>
      <c r="AF14" s="256" t="str">
        <f t="shared" si="16"/>
        <v>0</v>
      </c>
      <c r="AG14" s="257" t="str">
        <f t="shared" si="17"/>
        <v>0</v>
      </c>
      <c r="AH14" s="256" t="str">
        <f t="shared" si="18"/>
        <v>0</v>
      </c>
      <c r="AI14" s="257" t="str">
        <f t="shared" si="19"/>
        <v>0</v>
      </c>
      <c r="AJ14" s="256" t="str">
        <f t="shared" si="20"/>
        <v>0</v>
      </c>
      <c r="AK14" s="257" t="str">
        <f t="shared" si="21"/>
        <v>0</v>
      </c>
      <c r="AL14" s="258" t="str">
        <f t="shared" si="22"/>
        <v>0</v>
      </c>
      <c r="AM14" s="257" t="str">
        <f t="shared" si="23"/>
        <v>0</v>
      </c>
      <c r="AN14" s="255" t="str">
        <f t="shared" si="24"/>
        <v>0</v>
      </c>
    </row>
    <row r="15" spans="1:40" x14ac:dyDescent="0.2">
      <c r="A15" s="246">
        <v>45884</v>
      </c>
      <c r="B15" s="247">
        <v>1</v>
      </c>
      <c r="C15" s="247">
        <v>1</v>
      </c>
      <c r="D15" s="248" t="s">
        <v>534</v>
      </c>
      <c r="E15" s="249"/>
      <c r="F15" s="250" t="s">
        <v>569</v>
      </c>
      <c r="G15" s="251" t="s">
        <v>570</v>
      </c>
      <c r="H15" s="260">
        <v>3295</v>
      </c>
      <c r="I15" s="253">
        <v>3295</v>
      </c>
      <c r="J15" s="254">
        <v>1</v>
      </c>
      <c r="K15" s="572">
        <f t="shared" si="0"/>
        <v>3295</v>
      </c>
      <c r="L15" s="418">
        <v>823.75</v>
      </c>
      <c r="M15" s="236">
        <f>IF((ISBLANK(A15)),"",'Fee calc_closed Transactions'!F15)</f>
        <v>2100.5625</v>
      </c>
      <c r="N15" s="237">
        <f>IF(K15="","",'Fee calc_closed Transactions'!G15)</f>
        <v>370.68750000000006</v>
      </c>
      <c r="O15" s="238"/>
      <c r="P15" s="239">
        <f t="shared" si="25"/>
        <v>3295</v>
      </c>
      <c r="Q15" s="240" t="str">
        <f t="shared" si="1"/>
        <v>0</v>
      </c>
      <c r="R15" s="256" t="str">
        <f t="shared" si="2"/>
        <v>0</v>
      </c>
      <c r="S15" s="257" t="str">
        <f t="shared" si="3"/>
        <v>0</v>
      </c>
      <c r="T15" s="256" t="str">
        <f t="shared" si="4"/>
        <v>0</v>
      </c>
      <c r="U15" s="257" t="str">
        <f t="shared" si="5"/>
        <v>0</v>
      </c>
      <c r="V15" s="256" t="str">
        <f t="shared" si="6"/>
        <v>0</v>
      </c>
      <c r="W15" s="257" t="str">
        <f t="shared" si="7"/>
        <v>0</v>
      </c>
      <c r="X15" s="256" t="str">
        <f t="shared" si="8"/>
        <v>0</v>
      </c>
      <c r="Y15" s="257" t="str">
        <f t="shared" si="9"/>
        <v>0</v>
      </c>
      <c r="Z15" s="256" t="str">
        <f t="shared" si="10"/>
        <v>0</v>
      </c>
      <c r="AA15" s="257" t="str">
        <f t="shared" si="11"/>
        <v>0</v>
      </c>
      <c r="AB15" s="256" t="str">
        <f t="shared" si="12"/>
        <v>0</v>
      </c>
      <c r="AC15" s="257" t="str">
        <f t="shared" si="13"/>
        <v>0</v>
      </c>
      <c r="AD15" s="256" t="str">
        <f t="shared" si="14"/>
        <v>0</v>
      </c>
      <c r="AE15" s="257">
        <f t="shared" si="15"/>
        <v>2100.5625</v>
      </c>
      <c r="AF15" s="256">
        <f t="shared" si="16"/>
        <v>2100.5625</v>
      </c>
      <c r="AG15" s="257" t="str">
        <f t="shared" si="17"/>
        <v>0</v>
      </c>
      <c r="AH15" s="256" t="str">
        <f t="shared" si="18"/>
        <v>0</v>
      </c>
      <c r="AI15" s="257" t="str">
        <f t="shared" si="19"/>
        <v>0</v>
      </c>
      <c r="AJ15" s="256" t="str">
        <f t="shared" si="20"/>
        <v>0</v>
      </c>
      <c r="AK15" s="257" t="str">
        <f t="shared" si="21"/>
        <v>0</v>
      </c>
      <c r="AL15" s="258" t="str">
        <f t="shared" si="22"/>
        <v>0</v>
      </c>
      <c r="AM15" s="257" t="str">
        <f t="shared" si="23"/>
        <v>0</v>
      </c>
      <c r="AN15" s="255" t="str">
        <f t="shared" si="24"/>
        <v>0</v>
      </c>
    </row>
    <row r="16" spans="1:40" x14ac:dyDescent="0.2">
      <c r="A16" s="246">
        <v>45903</v>
      </c>
      <c r="B16" s="247">
        <v>1</v>
      </c>
      <c r="C16" s="247"/>
      <c r="D16" s="248" t="s">
        <v>573</v>
      </c>
      <c r="E16" s="249"/>
      <c r="F16" s="250" t="s">
        <v>574</v>
      </c>
      <c r="G16" s="251" t="s">
        <v>575</v>
      </c>
      <c r="H16" s="260">
        <v>599990</v>
      </c>
      <c r="I16" s="253">
        <v>615000</v>
      </c>
      <c r="J16" s="254">
        <v>0</v>
      </c>
      <c r="K16" s="572">
        <f t="shared" si="0"/>
        <v>0</v>
      </c>
      <c r="L16" s="418"/>
      <c r="M16" s="236">
        <f>IF((ISBLANK(A16)),"",'Fee calc_closed Transactions'!F16)</f>
        <v>0</v>
      </c>
      <c r="N16" s="237">
        <f>IF(K16="","",'Fee calc_closed Transactions'!G16)</f>
        <v>0</v>
      </c>
      <c r="O16" s="238"/>
      <c r="P16" s="239">
        <f t="shared" si="25"/>
        <v>615000</v>
      </c>
      <c r="Q16" s="240" t="str">
        <f t="shared" si="1"/>
        <v>0</v>
      </c>
      <c r="R16" s="256" t="str">
        <f t="shared" si="2"/>
        <v>0</v>
      </c>
      <c r="S16" s="257" t="str">
        <f t="shared" si="3"/>
        <v>0</v>
      </c>
      <c r="T16" s="256" t="str">
        <f t="shared" si="4"/>
        <v>0</v>
      </c>
      <c r="U16" s="257" t="str">
        <f t="shared" si="5"/>
        <v>0</v>
      </c>
      <c r="V16" s="256" t="str">
        <f t="shared" si="6"/>
        <v>0</v>
      </c>
      <c r="W16" s="257" t="str">
        <f t="shared" si="7"/>
        <v>0</v>
      </c>
      <c r="X16" s="256" t="str">
        <f t="shared" si="8"/>
        <v>0</v>
      </c>
      <c r="Y16" s="257" t="str">
        <f t="shared" si="9"/>
        <v>0</v>
      </c>
      <c r="Z16" s="256" t="str">
        <f t="shared" si="10"/>
        <v>0</v>
      </c>
      <c r="AA16" s="257" t="str">
        <f t="shared" si="11"/>
        <v>0</v>
      </c>
      <c r="AB16" s="256" t="str">
        <f t="shared" si="12"/>
        <v>0</v>
      </c>
      <c r="AC16" s="257" t="str">
        <f t="shared" si="13"/>
        <v>0</v>
      </c>
      <c r="AD16" s="256" t="str">
        <f t="shared" si="14"/>
        <v>0</v>
      </c>
      <c r="AE16" s="257" t="str">
        <f t="shared" si="15"/>
        <v>0</v>
      </c>
      <c r="AF16" s="256" t="str">
        <f t="shared" si="16"/>
        <v>0</v>
      </c>
      <c r="AG16" s="257">
        <f t="shared" si="17"/>
        <v>0</v>
      </c>
      <c r="AH16" s="256">
        <f t="shared" si="18"/>
        <v>0</v>
      </c>
      <c r="AI16" s="257" t="str">
        <f t="shared" si="19"/>
        <v>0</v>
      </c>
      <c r="AJ16" s="256" t="str">
        <f t="shared" si="20"/>
        <v>0</v>
      </c>
      <c r="AK16" s="257" t="str">
        <f t="shared" si="21"/>
        <v>0</v>
      </c>
      <c r="AL16" s="258" t="str">
        <f t="shared" si="22"/>
        <v>0</v>
      </c>
      <c r="AM16" s="257" t="str">
        <f t="shared" si="23"/>
        <v>0</v>
      </c>
      <c r="AN16" s="255" t="str">
        <f t="shared" si="24"/>
        <v>0</v>
      </c>
    </row>
    <row r="17" spans="1:40" x14ac:dyDescent="0.2">
      <c r="A17" s="246">
        <v>45910</v>
      </c>
      <c r="B17" s="247"/>
      <c r="C17" s="247">
        <v>1</v>
      </c>
      <c r="D17" s="248" t="s">
        <v>519</v>
      </c>
      <c r="E17" s="249"/>
      <c r="F17" s="250" t="s">
        <v>576</v>
      </c>
      <c r="G17" s="251" t="s">
        <v>577</v>
      </c>
      <c r="H17" s="260">
        <v>780000</v>
      </c>
      <c r="I17" s="253">
        <v>770000</v>
      </c>
      <c r="J17" s="254">
        <v>0.02</v>
      </c>
      <c r="K17" s="572">
        <f t="shared" si="0"/>
        <v>15400</v>
      </c>
      <c r="L17" s="418"/>
      <c r="M17" s="236">
        <f>IF((ISBLANK(A17)),"",'Fee calc_closed Transactions'!F17)</f>
        <v>13090</v>
      </c>
      <c r="N17" s="237">
        <f>IF(K17="","",'Fee calc_closed Transactions'!G17)</f>
        <v>2310.0000000000005</v>
      </c>
      <c r="O17" s="238"/>
      <c r="P17" s="239">
        <f t="shared" si="25"/>
        <v>770000</v>
      </c>
      <c r="Q17" s="240" t="str">
        <f t="shared" si="1"/>
        <v>0</v>
      </c>
      <c r="R17" s="256" t="str">
        <f t="shared" si="2"/>
        <v>0</v>
      </c>
      <c r="S17" s="257" t="str">
        <f t="shared" si="3"/>
        <v>0</v>
      </c>
      <c r="T17" s="256" t="str">
        <f t="shared" si="4"/>
        <v>0</v>
      </c>
      <c r="U17" s="257" t="str">
        <f t="shared" si="5"/>
        <v>0</v>
      </c>
      <c r="V17" s="256" t="str">
        <f t="shared" si="6"/>
        <v>0</v>
      </c>
      <c r="W17" s="257" t="str">
        <f t="shared" si="7"/>
        <v>0</v>
      </c>
      <c r="X17" s="256" t="str">
        <f t="shared" si="8"/>
        <v>0</v>
      </c>
      <c r="Y17" s="257" t="str">
        <f t="shared" si="9"/>
        <v>0</v>
      </c>
      <c r="Z17" s="256" t="str">
        <f t="shared" si="10"/>
        <v>0</v>
      </c>
      <c r="AA17" s="257" t="str">
        <f t="shared" si="11"/>
        <v>0</v>
      </c>
      <c r="AB17" s="256" t="str">
        <f t="shared" si="12"/>
        <v>0</v>
      </c>
      <c r="AC17" s="257" t="str">
        <f t="shared" si="13"/>
        <v>0</v>
      </c>
      <c r="AD17" s="256" t="str">
        <f t="shared" si="14"/>
        <v>0</v>
      </c>
      <c r="AE17" s="257" t="str">
        <f t="shared" si="15"/>
        <v>0</v>
      </c>
      <c r="AF17" s="256" t="str">
        <f t="shared" si="16"/>
        <v>0</v>
      </c>
      <c r="AG17" s="257">
        <f t="shared" si="17"/>
        <v>0</v>
      </c>
      <c r="AH17" s="256">
        <f t="shared" si="18"/>
        <v>13090</v>
      </c>
      <c r="AI17" s="257" t="str">
        <f t="shared" si="19"/>
        <v>0</v>
      </c>
      <c r="AJ17" s="256" t="str">
        <f t="shared" si="20"/>
        <v>0</v>
      </c>
      <c r="AK17" s="257" t="str">
        <f t="shared" si="21"/>
        <v>0</v>
      </c>
      <c r="AL17" s="258" t="str">
        <f t="shared" si="22"/>
        <v>0</v>
      </c>
      <c r="AM17" s="257" t="str">
        <f t="shared" si="23"/>
        <v>0</v>
      </c>
      <c r="AN17" s="255" t="str">
        <f t="shared" si="24"/>
        <v>0</v>
      </c>
    </row>
    <row r="18" spans="1:40" x14ac:dyDescent="0.2">
      <c r="A18" s="246">
        <v>45920</v>
      </c>
      <c r="B18" s="247"/>
      <c r="C18" s="247">
        <v>1</v>
      </c>
      <c r="D18" s="248" t="s">
        <v>573</v>
      </c>
      <c r="E18" s="249"/>
      <c r="F18" s="250" t="s">
        <v>574</v>
      </c>
      <c r="G18" s="251" t="s">
        <v>579</v>
      </c>
      <c r="H18" s="252">
        <v>2300</v>
      </c>
      <c r="I18" s="253">
        <v>2400</v>
      </c>
      <c r="J18" s="254">
        <v>0</v>
      </c>
      <c r="K18" s="572">
        <f t="shared" si="0"/>
        <v>0</v>
      </c>
      <c r="L18" s="418"/>
      <c r="M18" s="236">
        <f>IF((ISBLANK(A18)),"",'Fee calc_closed Transactions'!F18)</f>
        <v>0</v>
      </c>
      <c r="N18" s="237">
        <f>IF(K18="","",'Fee calc_closed Transactions'!G18)</f>
        <v>0</v>
      </c>
      <c r="O18" s="238"/>
      <c r="P18" s="239">
        <f t="shared" si="25"/>
        <v>2400</v>
      </c>
      <c r="Q18" s="240" t="str">
        <f t="shared" si="1"/>
        <v>0</v>
      </c>
      <c r="R18" s="256" t="str">
        <f t="shared" si="2"/>
        <v>0</v>
      </c>
      <c r="S18" s="257" t="str">
        <f t="shared" si="3"/>
        <v>0</v>
      </c>
      <c r="T18" s="256" t="str">
        <f t="shared" si="4"/>
        <v>0</v>
      </c>
      <c r="U18" s="257" t="str">
        <f t="shared" si="5"/>
        <v>0</v>
      </c>
      <c r="V18" s="256" t="str">
        <f t="shared" si="6"/>
        <v>0</v>
      </c>
      <c r="W18" s="257" t="str">
        <f t="shared" si="7"/>
        <v>0</v>
      </c>
      <c r="X18" s="256" t="str">
        <f t="shared" si="8"/>
        <v>0</v>
      </c>
      <c r="Y18" s="257" t="str">
        <f t="shared" si="9"/>
        <v>0</v>
      </c>
      <c r="Z18" s="256" t="str">
        <f t="shared" si="10"/>
        <v>0</v>
      </c>
      <c r="AA18" s="257" t="str">
        <f t="shared" si="11"/>
        <v>0</v>
      </c>
      <c r="AB18" s="256" t="str">
        <f t="shared" si="12"/>
        <v>0</v>
      </c>
      <c r="AC18" s="257" t="str">
        <f t="shared" si="13"/>
        <v>0</v>
      </c>
      <c r="AD18" s="256" t="str">
        <f t="shared" si="14"/>
        <v>0</v>
      </c>
      <c r="AE18" s="257" t="str">
        <f t="shared" si="15"/>
        <v>0</v>
      </c>
      <c r="AF18" s="256" t="str">
        <f t="shared" si="16"/>
        <v>0</v>
      </c>
      <c r="AG18" s="257">
        <f t="shared" si="17"/>
        <v>0</v>
      </c>
      <c r="AH18" s="256">
        <f t="shared" si="18"/>
        <v>0</v>
      </c>
      <c r="AI18" s="257" t="str">
        <f t="shared" si="19"/>
        <v>0</v>
      </c>
      <c r="AJ18" s="256" t="str">
        <f t="shared" si="20"/>
        <v>0</v>
      </c>
      <c r="AK18" s="257" t="str">
        <f t="shared" si="21"/>
        <v>0</v>
      </c>
      <c r="AL18" s="258" t="str">
        <f t="shared" si="22"/>
        <v>0</v>
      </c>
      <c r="AM18" s="257" t="str">
        <f t="shared" si="23"/>
        <v>0</v>
      </c>
      <c r="AN18" s="255" t="str">
        <f t="shared" si="24"/>
        <v>0</v>
      </c>
    </row>
    <row r="19" spans="1:40" x14ac:dyDescent="0.2">
      <c r="A19" s="246">
        <v>45981</v>
      </c>
      <c r="B19" s="247"/>
      <c r="C19" s="247">
        <v>1</v>
      </c>
      <c r="D19" s="248" t="s">
        <v>573</v>
      </c>
      <c r="E19" s="249"/>
      <c r="F19" s="250" t="s">
        <v>595</v>
      </c>
      <c r="G19" s="251" t="s">
        <v>575</v>
      </c>
      <c r="H19" s="260">
        <v>1500</v>
      </c>
      <c r="I19" s="253">
        <v>1500</v>
      </c>
      <c r="J19" s="254">
        <v>0</v>
      </c>
      <c r="K19" s="572">
        <f t="shared" si="0"/>
        <v>0</v>
      </c>
      <c r="L19" s="418"/>
      <c r="M19" s="236">
        <f>IF((ISBLANK(A19)),"",'Fee calc_closed Transactions'!F19)</f>
        <v>0</v>
      </c>
      <c r="N19" s="237">
        <f>IF(K19="","",'Fee calc_closed Transactions'!G19)</f>
        <v>0</v>
      </c>
      <c r="O19" s="238"/>
      <c r="P19" s="239">
        <f t="shared" si="25"/>
        <v>1500</v>
      </c>
      <c r="Q19" s="240" t="str">
        <f t="shared" si="1"/>
        <v>0</v>
      </c>
      <c r="R19" s="256" t="str">
        <f t="shared" si="2"/>
        <v>0</v>
      </c>
      <c r="S19" s="257" t="str">
        <f t="shared" si="3"/>
        <v>0</v>
      </c>
      <c r="T19" s="256" t="str">
        <f t="shared" si="4"/>
        <v>0</v>
      </c>
      <c r="U19" s="257" t="str">
        <f t="shared" si="5"/>
        <v>0</v>
      </c>
      <c r="V19" s="256" t="str">
        <f t="shared" si="6"/>
        <v>0</v>
      </c>
      <c r="W19" s="257" t="str">
        <f t="shared" si="7"/>
        <v>0</v>
      </c>
      <c r="X19" s="256" t="str">
        <f t="shared" si="8"/>
        <v>0</v>
      </c>
      <c r="Y19" s="257" t="str">
        <f t="shared" si="9"/>
        <v>0</v>
      </c>
      <c r="Z19" s="256" t="str">
        <f t="shared" si="10"/>
        <v>0</v>
      </c>
      <c r="AA19" s="257" t="str">
        <f t="shared" si="11"/>
        <v>0</v>
      </c>
      <c r="AB19" s="256" t="str">
        <f t="shared" si="12"/>
        <v>0</v>
      </c>
      <c r="AC19" s="257" t="str">
        <f t="shared" si="13"/>
        <v>0</v>
      </c>
      <c r="AD19" s="256" t="str">
        <f t="shared" si="14"/>
        <v>0</v>
      </c>
      <c r="AE19" s="257" t="str">
        <f t="shared" si="15"/>
        <v>0</v>
      </c>
      <c r="AF19" s="256" t="str">
        <f t="shared" si="16"/>
        <v>0</v>
      </c>
      <c r="AG19" s="257" t="str">
        <f t="shared" si="17"/>
        <v>0</v>
      </c>
      <c r="AH19" s="256" t="str">
        <f t="shared" si="18"/>
        <v>0</v>
      </c>
      <c r="AI19" s="257" t="str">
        <f t="shared" si="19"/>
        <v>0</v>
      </c>
      <c r="AJ19" s="256" t="str">
        <f t="shared" si="20"/>
        <v>0</v>
      </c>
      <c r="AK19" s="257">
        <f t="shared" si="21"/>
        <v>0</v>
      </c>
      <c r="AL19" s="258">
        <f t="shared" si="22"/>
        <v>0</v>
      </c>
      <c r="AM19" s="257" t="str">
        <f t="shared" si="23"/>
        <v>0</v>
      </c>
      <c r="AN19" s="255" t="str">
        <f t="shared" si="24"/>
        <v>0</v>
      </c>
    </row>
    <row r="20" spans="1:40" x14ac:dyDescent="0.2">
      <c r="A20" s="246"/>
      <c r="B20" s="247"/>
      <c r="C20" s="247"/>
      <c r="D20" s="248"/>
      <c r="E20" s="249"/>
      <c r="F20" s="250"/>
      <c r="G20" s="251"/>
      <c r="H20" s="260"/>
      <c r="I20" s="253"/>
      <c r="J20" s="254"/>
      <c r="K20" s="572" t="str">
        <f t="shared" si="0"/>
        <v/>
      </c>
      <c r="L20" s="418"/>
      <c r="M20" s="236" t="str">
        <f>IF((ISBLANK(A20)),"",'Fee calc_closed Transactions'!F20)</f>
        <v/>
      </c>
      <c r="N20" s="237" t="str">
        <f>IF(K20="","",'Fee calc_closed Transactions'!G20)</f>
        <v/>
      </c>
      <c r="O20" s="238"/>
      <c r="P20" s="239" t="str">
        <f t="shared" si="25"/>
        <v>0</v>
      </c>
      <c r="Q20" s="240">
        <f t="shared" si="1"/>
        <v>0</v>
      </c>
      <c r="R20" s="256">
        <f t="shared" si="2"/>
        <v>0</v>
      </c>
      <c r="S20" s="257" t="str">
        <f t="shared" si="3"/>
        <v>0</v>
      </c>
      <c r="T20" s="256" t="str">
        <f t="shared" si="4"/>
        <v>0</v>
      </c>
      <c r="U20" s="257" t="str">
        <f t="shared" si="5"/>
        <v>0</v>
      </c>
      <c r="V20" s="256" t="str">
        <f t="shared" si="6"/>
        <v>0</v>
      </c>
      <c r="W20" s="257" t="str">
        <f t="shared" si="7"/>
        <v>0</v>
      </c>
      <c r="X20" s="256" t="str">
        <f t="shared" si="8"/>
        <v>0</v>
      </c>
      <c r="Y20" s="257" t="str">
        <f t="shared" si="9"/>
        <v>0</v>
      </c>
      <c r="Z20" s="256" t="str">
        <f t="shared" si="10"/>
        <v>0</v>
      </c>
      <c r="AA20" s="257" t="str">
        <f t="shared" si="11"/>
        <v>0</v>
      </c>
      <c r="AB20" s="256" t="str">
        <f t="shared" si="12"/>
        <v>0</v>
      </c>
      <c r="AC20" s="257" t="str">
        <f t="shared" si="13"/>
        <v>0</v>
      </c>
      <c r="AD20" s="256" t="str">
        <f t="shared" si="14"/>
        <v>0</v>
      </c>
      <c r="AE20" s="257" t="str">
        <f t="shared" si="15"/>
        <v>0</v>
      </c>
      <c r="AF20" s="256" t="str">
        <f t="shared" si="16"/>
        <v>0</v>
      </c>
      <c r="AG20" s="257" t="str">
        <f t="shared" si="17"/>
        <v>0</v>
      </c>
      <c r="AH20" s="256" t="str">
        <f t="shared" si="18"/>
        <v>0</v>
      </c>
      <c r="AI20" s="257" t="str">
        <f t="shared" si="19"/>
        <v>0</v>
      </c>
      <c r="AJ20" s="256" t="str">
        <f t="shared" si="20"/>
        <v>0</v>
      </c>
      <c r="AK20" s="257" t="str">
        <f t="shared" si="21"/>
        <v>0</v>
      </c>
      <c r="AL20" s="258" t="str">
        <f t="shared" si="22"/>
        <v>0</v>
      </c>
      <c r="AM20" s="257" t="str">
        <f t="shared" si="23"/>
        <v>0</v>
      </c>
      <c r="AN20" s="255" t="str">
        <f t="shared" si="24"/>
        <v>0</v>
      </c>
    </row>
    <row r="21" spans="1:40" x14ac:dyDescent="0.2">
      <c r="A21" s="246"/>
      <c r="B21" s="247"/>
      <c r="C21" s="247"/>
      <c r="D21" s="248"/>
      <c r="E21" s="249"/>
      <c r="F21" s="250"/>
      <c r="G21" s="259"/>
      <c r="H21" s="252"/>
      <c r="I21" s="253"/>
      <c r="J21" s="254"/>
      <c r="K21" s="572" t="str">
        <f t="shared" si="0"/>
        <v/>
      </c>
      <c r="L21" s="418"/>
      <c r="M21" s="236" t="str">
        <f>IF((ISBLANK(A21)),"",'Fee calc_closed Transactions'!F21)</f>
        <v/>
      </c>
      <c r="N21" s="237" t="str">
        <f>IF(K21="","",'Fee calc_closed Transactions'!G21)</f>
        <v/>
      </c>
      <c r="O21" s="238"/>
      <c r="P21" s="239" t="str">
        <f t="shared" si="25"/>
        <v>0</v>
      </c>
      <c r="Q21" s="240">
        <f t="shared" si="1"/>
        <v>0</v>
      </c>
      <c r="R21" s="256">
        <f t="shared" si="2"/>
        <v>0</v>
      </c>
      <c r="S21" s="257" t="str">
        <f t="shared" si="3"/>
        <v>0</v>
      </c>
      <c r="T21" s="256" t="str">
        <f t="shared" si="4"/>
        <v>0</v>
      </c>
      <c r="U21" s="257" t="str">
        <f t="shared" si="5"/>
        <v>0</v>
      </c>
      <c r="V21" s="256" t="str">
        <f t="shared" si="6"/>
        <v>0</v>
      </c>
      <c r="W21" s="257" t="str">
        <f t="shared" si="7"/>
        <v>0</v>
      </c>
      <c r="X21" s="256" t="str">
        <f t="shared" si="8"/>
        <v>0</v>
      </c>
      <c r="Y21" s="257" t="str">
        <f t="shared" si="9"/>
        <v>0</v>
      </c>
      <c r="Z21" s="256" t="str">
        <f t="shared" si="10"/>
        <v>0</v>
      </c>
      <c r="AA21" s="257" t="str">
        <f t="shared" si="11"/>
        <v>0</v>
      </c>
      <c r="AB21" s="256" t="str">
        <f t="shared" si="12"/>
        <v>0</v>
      </c>
      <c r="AC21" s="257" t="str">
        <f t="shared" si="13"/>
        <v>0</v>
      </c>
      <c r="AD21" s="256" t="str">
        <f t="shared" si="14"/>
        <v>0</v>
      </c>
      <c r="AE21" s="257" t="str">
        <f t="shared" si="15"/>
        <v>0</v>
      </c>
      <c r="AF21" s="256" t="str">
        <f t="shared" si="16"/>
        <v>0</v>
      </c>
      <c r="AG21" s="257" t="str">
        <f t="shared" si="17"/>
        <v>0</v>
      </c>
      <c r="AH21" s="256" t="str">
        <f t="shared" si="18"/>
        <v>0</v>
      </c>
      <c r="AI21" s="257" t="str">
        <f t="shared" si="19"/>
        <v>0</v>
      </c>
      <c r="AJ21" s="256" t="str">
        <f t="shared" si="20"/>
        <v>0</v>
      </c>
      <c r="AK21" s="257" t="str">
        <f t="shared" si="21"/>
        <v>0</v>
      </c>
      <c r="AL21" s="258" t="str">
        <f t="shared" si="22"/>
        <v>0</v>
      </c>
      <c r="AM21" s="257" t="str">
        <f t="shared" si="23"/>
        <v>0</v>
      </c>
      <c r="AN21" s="255" t="str">
        <f t="shared" si="24"/>
        <v>0</v>
      </c>
    </row>
    <row r="22" spans="1:40" x14ac:dyDescent="0.2">
      <c r="A22" s="246"/>
      <c r="B22" s="247"/>
      <c r="C22" s="247"/>
      <c r="D22" s="248"/>
      <c r="E22" s="249"/>
      <c r="F22" s="250"/>
      <c r="G22" s="251"/>
      <c r="H22" s="252"/>
      <c r="I22" s="253"/>
      <c r="J22" s="254"/>
      <c r="K22" s="572" t="str">
        <f t="shared" si="0"/>
        <v/>
      </c>
      <c r="L22" s="418"/>
      <c r="M22" s="236" t="str">
        <f>IF((ISBLANK(A22)),"",'Fee calc_closed Transactions'!F22)</f>
        <v/>
      </c>
      <c r="N22" s="237" t="str">
        <f>IF(K22="","",'Fee calc_closed Transactions'!G22)</f>
        <v/>
      </c>
      <c r="O22" s="238"/>
      <c r="P22" s="239" t="str">
        <f t="shared" si="25"/>
        <v>0</v>
      </c>
      <c r="Q22" s="240">
        <f t="shared" si="1"/>
        <v>0</v>
      </c>
      <c r="R22" s="256">
        <f t="shared" si="2"/>
        <v>0</v>
      </c>
      <c r="S22" s="257" t="str">
        <f t="shared" si="3"/>
        <v>0</v>
      </c>
      <c r="T22" s="256" t="str">
        <f t="shared" si="4"/>
        <v>0</v>
      </c>
      <c r="U22" s="257" t="str">
        <f t="shared" si="5"/>
        <v>0</v>
      </c>
      <c r="V22" s="256" t="str">
        <f t="shared" si="6"/>
        <v>0</v>
      </c>
      <c r="W22" s="257" t="str">
        <f t="shared" si="7"/>
        <v>0</v>
      </c>
      <c r="X22" s="256" t="str">
        <f t="shared" si="8"/>
        <v>0</v>
      </c>
      <c r="Y22" s="257" t="str">
        <f t="shared" si="9"/>
        <v>0</v>
      </c>
      <c r="Z22" s="256" t="str">
        <f t="shared" si="10"/>
        <v>0</v>
      </c>
      <c r="AA22" s="257" t="str">
        <f t="shared" si="11"/>
        <v>0</v>
      </c>
      <c r="AB22" s="256" t="str">
        <f t="shared" si="12"/>
        <v>0</v>
      </c>
      <c r="AC22" s="257" t="str">
        <f t="shared" si="13"/>
        <v>0</v>
      </c>
      <c r="AD22" s="256" t="str">
        <f t="shared" si="14"/>
        <v>0</v>
      </c>
      <c r="AE22" s="257" t="str">
        <f t="shared" si="15"/>
        <v>0</v>
      </c>
      <c r="AF22" s="256" t="str">
        <f t="shared" si="16"/>
        <v>0</v>
      </c>
      <c r="AG22" s="257" t="str">
        <f t="shared" si="17"/>
        <v>0</v>
      </c>
      <c r="AH22" s="256" t="str">
        <f t="shared" si="18"/>
        <v>0</v>
      </c>
      <c r="AI22" s="257" t="str">
        <f t="shared" si="19"/>
        <v>0</v>
      </c>
      <c r="AJ22" s="256" t="str">
        <f t="shared" si="20"/>
        <v>0</v>
      </c>
      <c r="AK22" s="257" t="str">
        <f t="shared" si="21"/>
        <v>0</v>
      </c>
      <c r="AL22" s="258" t="str">
        <f t="shared" si="22"/>
        <v>0</v>
      </c>
      <c r="AM22" s="257" t="str">
        <f t="shared" si="23"/>
        <v>0</v>
      </c>
      <c r="AN22" s="255" t="str">
        <f t="shared" si="24"/>
        <v>0</v>
      </c>
    </row>
    <row r="23" spans="1:40" x14ac:dyDescent="0.2">
      <c r="A23" s="246"/>
      <c r="B23" s="247"/>
      <c r="C23" s="247"/>
      <c r="D23" s="248"/>
      <c r="E23" s="249"/>
      <c r="F23" s="250"/>
      <c r="G23" s="251"/>
      <c r="H23" s="252"/>
      <c r="I23" s="253"/>
      <c r="J23" s="254"/>
      <c r="K23" s="572" t="str">
        <f t="shared" si="0"/>
        <v/>
      </c>
      <c r="L23" s="418"/>
      <c r="M23" s="236" t="str">
        <f>IF((ISBLANK(A23)),"",'Fee calc_closed Transactions'!F23)</f>
        <v/>
      </c>
      <c r="N23" s="237" t="str">
        <f>IF(K23="","",'Fee calc_closed Transactions'!G23)</f>
        <v/>
      </c>
      <c r="O23" s="238"/>
      <c r="P23" s="239" t="str">
        <f t="shared" si="25"/>
        <v>0</v>
      </c>
      <c r="Q23" s="240">
        <f t="shared" si="1"/>
        <v>0</v>
      </c>
      <c r="R23" s="256">
        <f t="shared" si="2"/>
        <v>0</v>
      </c>
      <c r="S23" s="257" t="str">
        <f t="shared" si="3"/>
        <v>0</v>
      </c>
      <c r="T23" s="256" t="str">
        <f t="shared" si="4"/>
        <v>0</v>
      </c>
      <c r="U23" s="257" t="str">
        <f t="shared" si="5"/>
        <v>0</v>
      </c>
      <c r="V23" s="256" t="str">
        <f t="shared" si="6"/>
        <v>0</v>
      </c>
      <c r="W23" s="257" t="str">
        <f t="shared" si="7"/>
        <v>0</v>
      </c>
      <c r="X23" s="256" t="str">
        <f t="shared" si="8"/>
        <v>0</v>
      </c>
      <c r="Y23" s="257" t="str">
        <f t="shared" si="9"/>
        <v>0</v>
      </c>
      <c r="Z23" s="256" t="str">
        <f t="shared" si="10"/>
        <v>0</v>
      </c>
      <c r="AA23" s="257" t="str">
        <f t="shared" si="11"/>
        <v>0</v>
      </c>
      <c r="AB23" s="256" t="str">
        <f t="shared" si="12"/>
        <v>0</v>
      </c>
      <c r="AC23" s="257" t="str">
        <f t="shared" si="13"/>
        <v>0</v>
      </c>
      <c r="AD23" s="256" t="str">
        <f t="shared" si="14"/>
        <v>0</v>
      </c>
      <c r="AE23" s="257" t="str">
        <f t="shared" si="15"/>
        <v>0</v>
      </c>
      <c r="AF23" s="256" t="str">
        <f t="shared" si="16"/>
        <v>0</v>
      </c>
      <c r="AG23" s="257" t="str">
        <f t="shared" si="17"/>
        <v>0</v>
      </c>
      <c r="AH23" s="256" t="str">
        <f t="shared" si="18"/>
        <v>0</v>
      </c>
      <c r="AI23" s="257" t="str">
        <f t="shared" si="19"/>
        <v>0</v>
      </c>
      <c r="AJ23" s="256" t="str">
        <f t="shared" si="20"/>
        <v>0</v>
      </c>
      <c r="AK23" s="257" t="str">
        <f t="shared" si="21"/>
        <v>0</v>
      </c>
      <c r="AL23" s="258" t="str">
        <f t="shared" si="22"/>
        <v>0</v>
      </c>
      <c r="AM23" s="257" t="str">
        <f t="shared" si="23"/>
        <v>0</v>
      </c>
      <c r="AN23" s="255" t="str">
        <f t="shared" si="24"/>
        <v>0</v>
      </c>
    </row>
    <row r="24" spans="1:40" x14ac:dyDescent="0.2">
      <c r="A24" s="246"/>
      <c r="B24" s="247"/>
      <c r="C24" s="247"/>
      <c r="D24" s="248"/>
      <c r="E24" s="249"/>
      <c r="F24" s="250"/>
      <c r="G24" s="251"/>
      <c r="H24" s="260"/>
      <c r="I24" s="253"/>
      <c r="J24" s="254"/>
      <c r="K24" s="572" t="str">
        <f t="shared" si="0"/>
        <v/>
      </c>
      <c r="L24" s="418"/>
      <c r="M24" s="236" t="str">
        <f>IF((ISBLANK(A24)),"",'Fee calc_closed Transactions'!F24)</f>
        <v/>
      </c>
      <c r="N24" s="237" t="str">
        <f>IF(K24="","",'Fee calc_closed Transactions'!G24)</f>
        <v/>
      </c>
      <c r="O24" s="238"/>
      <c r="P24" s="239" t="str">
        <f t="shared" si="25"/>
        <v>0</v>
      </c>
      <c r="Q24" s="240">
        <f t="shared" si="1"/>
        <v>0</v>
      </c>
      <c r="R24" s="256">
        <f t="shared" si="2"/>
        <v>0</v>
      </c>
      <c r="S24" s="257" t="str">
        <f t="shared" si="3"/>
        <v>0</v>
      </c>
      <c r="T24" s="256" t="str">
        <f t="shared" si="4"/>
        <v>0</v>
      </c>
      <c r="U24" s="257" t="str">
        <f t="shared" si="5"/>
        <v>0</v>
      </c>
      <c r="V24" s="256" t="str">
        <f t="shared" si="6"/>
        <v>0</v>
      </c>
      <c r="W24" s="257" t="str">
        <f t="shared" si="7"/>
        <v>0</v>
      </c>
      <c r="X24" s="256" t="str">
        <f t="shared" si="8"/>
        <v>0</v>
      </c>
      <c r="Y24" s="257" t="str">
        <f t="shared" si="9"/>
        <v>0</v>
      </c>
      <c r="Z24" s="256" t="str">
        <f t="shared" si="10"/>
        <v>0</v>
      </c>
      <c r="AA24" s="257" t="str">
        <f t="shared" si="11"/>
        <v>0</v>
      </c>
      <c r="AB24" s="256" t="str">
        <f t="shared" si="12"/>
        <v>0</v>
      </c>
      <c r="AC24" s="257" t="str">
        <f t="shared" si="13"/>
        <v>0</v>
      </c>
      <c r="AD24" s="256" t="str">
        <f t="shared" si="14"/>
        <v>0</v>
      </c>
      <c r="AE24" s="257" t="str">
        <f t="shared" si="15"/>
        <v>0</v>
      </c>
      <c r="AF24" s="256" t="str">
        <f t="shared" si="16"/>
        <v>0</v>
      </c>
      <c r="AG24" s="257" t="str">
        <f t="shared" si="17"/>
        <v>0</v>
      </c>
      <c r="AH24" s="256" t="str">
        <f t="shared" si="18"/>
        <v>0</v>
      </c>
      <c r="AI24" s="257" t="str">
        <f t="shared" si="19"/>
        <v>0</v>
      </c>
      <c r="AJ24" s="256" t="str">
        <f t="shared" si="20"/>
        <v>0</v>
      </c>
      <c r="AK24" s="257" t="str">
        <f t="shared" si="21"/>
        <v>0</v>
      </c>
      <c r="AL24" s="258" t="str">
        <f t="shared" si="22"/>
        <v>0</v>
      </c>
      <c r="AM24" s="257" t="str">
        <f t="shared" si="23"/>
        <v>0</v>
      </c>
      <c r="AN24" s="255" t="str">
        <f t="shared" si="24"/>
        <v>0</v>
      </c>
    </row>
    <row r="25" spans="1:40" x14ac:dyDescent="0.2">
      <c r="A25" s="246"/>
      <c r="B25" s="247"/>
      <c r="C25" s="247"/>
      <c r="D25" s="248"/>
      <c r="E25" s="249"/>
      <c r="F25" s="250"/>
      <c r="G25" s="251"/>
      <c r="H25" s="252"/>
      <c r="I25" s="253"/>
      <c r="J25" s="254"/>
      <c r="K25" s="572" t="str">
        <f t="shared" si="0"/>
        <v/>
      </c>
      <c r="L25" s="418"/>
      <c r="M25" s="236" t="str">
        <f>IF((ISBLANK(A25)),"",'Fee calc_closed Transactions'!F25)</f>
        <v/>
      </c>
      <c r="N25" s="237" t="str">
        <f>IF(K25="","",'Fee calc_closed Transactions'!G25)</f>
        <v/>
      </c>
      <c r="O25" s="238"/>
      <c r="P25" s="239" t="str">
        <f t="shared" si="25"/>
        <v>0</v>
      </c>
      <c r="Q25" s="240">
        <f t="shared" si="1"/>
        <v>0</v>
      </c>
      <c r="R25" s="256">
        <f t="shared" si="2"/>
        <v>0</v>
      </c>
      <c r="S25" s="257" t="str">
        <f t="shared" si="3"/>
        <v>0</v>
      </c>
      <c r="T25" s="256" t="str">
        <f t="shared" si="4"/>
        <v>0</v>
      </c>
      <c r="U25" s="257" t="str">
        <f t="shared" si="5"/>
        <v>0</v>
      </c>
      <c r="V25" s="256" t="str">
        <f t="shared" si="6"/>
        <v>0</v>
      </c>
      <c r="W25" s="257" t="str">
        <f t="shared" si="7"/>
        <v>0</v>
      </c>
      <c r="X25" s="256" t="str">
        <f t="shared" si="8"/>
        <v>0</v>
      </c>
      <c r="Y25" s="257" t="str">
        <f t="shared" si="9"/>
        <v>0</v>
      </c>
      <c r="Z25" s="256" t="str">
        <f t="shared" si="10"/>
        <v>0</v>
      </c>
      <c r="AA25" s="257" t="str">
        <f t="shared" si="11"/>
        <v>0</v>
      </c>
      <c r="AB25" s="256" t="str">
        <f t="shared" si="12"/>
        <v>0</v>
      </c>
      <c r="AC25" s="257" t="str">
        <f t="shared" si="13"/>
        <v>0</v>
      </c>
      <c r="AD25" s="256" t="str">
        <f t="shared" si="14"/>
        <v>0</v>
      </c>
      <c r="AE25" s="257" t="str">
        <f t="shared" si="15"/>
        <v>0</v>
      </c>
      <c r="AF25" s="256" t="str">
        <f t="shared" si="16"/>
        <v>0</v>
      </c>
      <c r="AG25" s="257" t="str">
        <f t="shared" si="17"/>
        <v>0</v>
      </c>
      <c r="AH25" s="256" t="str">
        <f t="shared" si="18"/>
        <v>0</v>
      </c>
      <c r="AI25" s="257" t="str">
        <f t="shared" si="19"/>
        <v>0</v>
      </c>
      <c r="AJ25" s="256" t="str">
        <f t="shared" si="20"/>
        <v>0</v>
      </c>
      <c r="AK25" s="257" t="str">
        <f t="shared" si="21"/>
        <v>0</v>
      </c>
      <c r="AL25" s="258" t="str">
        <f t="shared" si="22"/>
        <v>0</v>
      </c>
      <c r="AM25" s="257" t="str">
        <f t="shared" si="23"/>
        <v>0</v>
      </c>
      <c r="AN25" s="255" t="str">
        <f t="shared" si="24"/>
        <v>0</v>
      </c>
    </row>
    <row r="26" spans="1:40" x14ac:dyDescent="0.2">
      <c r="A26" s="246"/>
      <c r="B26" s="247"/>
      <c r="C26" s="247"/>
      <c r="D26" s="248"/>
      <c r="E26" s="249"/>
      <c r="F26" s="250"/>
      <c r="G26" s="251"/>
      <c r="H26" s="260"/>
      <c r="I26" s="253"/>
      <c r="J26" s="254"/>
      <c r="K26" s="572" t="str">
        <f t="shared" si="0"/>
        <v/>
      </c>
      <c r="L26" s="418"/>
      <c r="M26" s="236" t="str">
        <f>IF((ISBLANK(A26)),"",'Fee calc_closed Transactions'!F26)</f>
        <v/>
      </c>
      <c r="N26" s="237" t="str">
        <f>IF(K26="","",'Fee calc_closed Transactions'!G26)</f>
        <v/>
      </c>
      <c r="O26" s="238"/>
      <c r="P26" s="239" t="str">
        <f t="shared" si="25"/>
        <v>0</v>
      </c>
      <c r="Q26" s="240">
        <f t="shared" si="1"/>
        <v>0</v>
      </c>
      <c r="R26" s="256">
        <f t="shared" si="2"/>
        <v>0</v>
      </c>
      <c r="S26" s="257" t="str">
        <f t="shared" si="3"/>
        <v>0</v>
      </c>
      <c r="T26" s="256" t="str">
        <f t="shared" si="4"/>
        <v>0</v>
      </c>
      <c r="U26" s="257" t="str">
        <f t="shared" si="5"/>
        <v>0</v>
      </c>
      <c r="V26" s="256" t="str">
        <f t="shared" si="6"/>
        <v>0</v>
      </c>
      <c r="W26" s="257" t="str">
        <f t="shared" si="7"/>
        <v>0</v>
      </c>
      <c r="X26" s="256" t="str">
        <f t="shared" si="8"/>
        <v>0</v>
      </c>
      <c r="Y26" s="257" t="str">
        <f t="shared" si="9"/>
        <v>0</v>
      </c>
      <c r="Z26" s="256" t="str">
        <f t="shared" si="10"/>
        <v>0</v>
      </c>
      <c r="AA26" s="257" t="str">
        <f t="shared" si="11"/>
        <v>0</v>
      </c>
      <c r="AB26" s="256" t="str">
        <f t="shared" si="12"/>
        <v>0</v>
      </c>
      <c r="AC26" s="257" t="str">
        <f t="shared" si="13"/>
        <v>0</v>
      </c>
      <c r="AD26" s="256" t="str">
        <f t="shared" si="14"/>
        <v>0</v>
      </c>
      <c r="AE26" s="257" t="str">
        <f t="shared" si="15"/>
        <v>0</v>
      </c>
      <c r="AF26" s="256" t="str">
        <f t="shared" si="16"/>
        <v>0</v>
      </c>
      <c r="AG26" s="257" t="str">
        <f t="shared" si="17"/>
        <v>0</v>
      </c>
      <c r="AH26" s="256" t="str">
        <f t="shared" si="18"/>
        <v>0</v>
      </c>
      <c r="AI26" s="257" t="str">
        <f t="shared" si="19"/>
        <v>0</v>
      </c>
      <c r="AJ26" s="256" t="str">
        <f t="shared" si="20"/>
        <v>0</v>
      </c>
      <c r="AK26" s="257" t="str">
        <f t="shared" si="21"/>
        <v>0</v>
      </c>
      <c r="AL26" s="258" t="str">
        <f t="shared" si="22"/>
        <v>0</v>
      </c>
      <c r="AM26" s="257" t="str">
        <f t="shared" si="23"/>
        <v>0</v>
      </c>
      <c r="AN26" s="255" t="str">
        <f t="shared" si="24"/>
        <v>0</v>
      </c>
    </row>
    <row r="27" spans="1:40" x14ac:dyDescent="0.2">
      <c r="A27" s="246"/>
      <c r="B27" s="247"/>
      <c r="C27" s="247"/>
      <c r="D27" s="248"/>
      <c r="E27" s="249"/>
      <c r="F27" s="250"/>
      <c r="G27" s="251"/>
      <c r="H27" s="252"/>
      <c r="I27" s="253"/>
      <c r="J27" s="254"/>
      <c r="K27" s="572" t="str">
        <f t="shared" si="0"/>
        <v/>
      </c>
      <c r="L27" s="418"/>
      <c r="M27" s="236" t="str">
        <f>IF((ISBLANK(A27)),"",'Fee calc_closed Transactions'!F27)</f>
        <v/>
      </c>
      <c r="N27" s="237" t="str">
        <f>IF(K27="","",'Fee calc_closed Transactions'!G27)</f>
        <v/>
      </c>
      <c r="O27" s="238"/>
      <c r="P27" s="239" t="str">
        <f t="shared" si="25"/>
        <v>0</v>
      </c>
      <c r="Q27" s="240">
        <f t="shared" si="1"/>
        <v>0</v>
      </c>
      <c r="R27" s="256">
        <f t="shared" si="2"/>
        <v>0</v>
      </c>
      <c r="S27" s="257" t="str">
        <f t="shared" si="3"/>
        <v>0</v>
      </c>
      <c r="T27" s="256" t="str">
        <f t="shared" si="4"/>
        <v>0</v>
      </c>
      <c r="U27" s="257" t="str">
        <f t="shared" si="5"/>
        <v>0</v>
      </c>
      <c r="V27" s="256" t="str">
        <f t="shared" si="6"/>
        <v>0</v>
      </c>
      <c r="W27" s="257" t="str">
        <f t="shared" si="7"/>
        <v>0</v>
      </c>
      <c r="X27" s="256" t="str">
        <f t="shared" si="8"/>
        <v>0</v>
      </c>
      <c r="Y27" s="257" t="str">
        <f t="shared" si="9"/>
        <v>0</v>
      </c>
      <c r="Z27" s="256" t="str">
        <f t="shared" si="10"/>
        <v>0</v>
      </c>
      <c r="AA27" s="257" t="str">
        <f t="shared" si="11"/>
        <v>0</v>
      </c>
      <c r="AB27" s="256" t="str">
        <f t="shared" si="12"/>
        <v>0</v>
      </c>
      <c r="AC27" s="257" t="str">
        <f t="shared" si="13"/>
        <v>0</v>
      </c>
      <c r="AD27" s="256" t="str">
        <f t="shared" si="14"/>
        <v>0</v>
      </c>
      <c r="AE27" s="257" t="str">
        <f t="shared" si="15"/>
        <v>0</v>
      </c>
      <c r="AF27" s="256" t="str">
        <f t="shared" si="16"/>
        <v>0</v>
      </c>
      <c r="AG27" s="257" t="str">
        <f t="shared" si="17"/>
        <v>0</v>
      </c>
      <c r="AH27" s="256" t="str">
        <f t="shared" si="18"/>
        <v>0</v>
      </c>
      <c r="AI27" s="257" t="str">
        <f t="shared" si="19"/>
        <v>0</v>
      </c>
      <c r="AJ27" s="256" t="str">
        <f t="shared" si="20"/>
        <v>0</v>
      </c>
      <c r="AK27" s="257" t="str">
        <f t="shared" si="21"/>
        <v>0</v>
      </c>
      <c r="AL27" s="258" t="str">
        <f t="shared" si="22"/>
        <v>0</v>
      </c>
      <c r="AM27" s="257" t="str">
        <f t="shared" si="23"/>
        <v>0</v>
      </c>
      <c r="AN27" s="255" t="str">
        <f t="shared" si="24"/>
        <v>0</v>
      </c>
    </row>
    <row r="28" spans="1:40" x14ac:dyDescent="0.2">
      <c r="A28" s="246"/>
      <c r="B28" s="247"/>
      <c r="C28" s="247"/>
      <c r="D28" s="248"/>
      <c r="E28" s="249"/>
      <c r="F28" s="250"/>
      <c r="G28" s="251"/>
      <c r="H28" s="260"/>
      <c r="I28" s="253"/>
      <c r="J28" s="254"/>
      <c r="K28" s="572" t="str">
        <f t="shared" si="0"/>
        <v/>
      </c>
      <c r="L28" s="418"/>
      <c r="M28" s="236" t="str">
        <f>IF((ISBLANK(A28)),"",'Fee calc_closed Transactions'!F28)</f>
        <v/>
      </c>
      <c r="N28" s="237" t="str">
        <f>IF(K28="","",'Fee calc_closed Transactions'!G28)</f>
        <v/>
      </c>
      <c r="O28" s="238"/>
      <c r="P28" s="239" t="str">
        <f t="shared" si="25"/>
        <v>0</v>
      </c>
      <c r="Q28" s="240">
        <f t="shared" si="1"/>
        <v>0</v>
      </c>
      <c r="R28" s="256">
        <f t="shared" si="2"/>
        <v>0</v>
      </c>
      <c r="S28" s="257" t="str">
        <f t="shared" si="3"/>
        <v>0</v>
      </c>
      <c r="T28" s="256" t="str">
        <f t="shared" si="4"/>
        <v>0</v>
      </c>
      <c r="U28" s="257" t="str">
        <f t="shared" si="5"/>
        <v>0</v>
      </c>
      <c r="V28" s="256" t="str">
        <f t="shared" si="6"/>
        <v>0</v>
      </c>
      <c r="W28" s="257" t="str">
        <f t="shared" si="7"/>
        <v>0</v>
      </c>
      <c r="X28" s="256" t="str">
        <f t="shared" si="8"/>
        <v>0</v>
      </c>
      <c r="Y28" s="257" t="str">
        <f t="shared" si="9"/>
        <v>0</v>
      </c>
      <c r="Z28" s="256" t="str">
        <f t="shared" si="10"/>
        <v>0</v>
      </c>
      <c r="AA28" s="257" t="str">
        <f t="shared" si="11"/>
        <v>0</v>
      </c>
      <c r="AB28" s="256" t="str">
        <f t="shared" si="12"/>
        <v>0</v>
      </c>
      <c r="AC28" s="257" t="str">
        <f t="shared" si="13"/>
        <v>0</v>
      </c>
      <c r="AD28" s="256" t="str">
        <f t="shared" si="14"/>
        <v>0</v>
      </c>
      <c r="AE28" s="257" t="str">
        <f t="shared" si="15"/>
        <v>0</v>
      </c>
      <c r="AF28" s="256" t="str">
        <f t="shared" si="16"/>
        <v>0</v>
      </c>
      <c r="AG28" s="257" t="str">
        <f t="shared" si="17"/>
        <v>0</v>
      </c>
      <c r="AH28" s="256" t="str">
        <f t="shared" si="18"/>
        <v>0</v>
      </c>
      <c r="AI28" s="257" t="str">
        <f t="shared" si="19"/>
        <v>0</v>
      </c>
      <c r="AJ28" s="256" t="str">
        <f t="shared" si="20"/>
        <v>0</v>
      </c>
      <c r="AK28" s="257" t="str">
        <f t="shared" si="21"/>
        <v>0</v>
      </c>
      <c r="AL28" s="258" t="str">
        <f t="shared" si="22"/>
        <v>0</v>
      </c>
      <c r="AM28" s="257" t="str">
        <f t="shared" si="23"/>
        <v>0</v>
      </c>
      <c r="AN28" s="255" t="str">
        <f t="shared" si="24"/>
        <v>0</v>
      </c>
    </row>
    <row r="29" spans="1:40" x14ac:dyDescent="0.2">
      <c r="A29" s="246"/>
      <c r="B29" s="247"/>
      <c r="C29" s="247"/>
      <c r="D29" s="248"/>
      <c r="E29" s="249"/>
      <c r="F29" s="250"/>
      <c r="G29" s="251"/>
      <c r="H29" s="260"/>
      <c r="I29" s="253"/>
      <c r="J29" s="254"/>
      <c r="K29" s="572" t="str">
        <f t="shared" si="0"/>
        <v/>
      </c>
      <c r="L29" s="418"/>
      <c r="M29" s="236" t="str">
        <f>IF((ISBLANK(A29)),"",'Fee calc_closed Transactions'!F29)</f>
        <v/>
      </c>
      <c r="N29" s="237" t="str">
        <f>IF(K29="","",'Fee calc_closed Transactions'!G29)</f>
        <v/>
      </c>
      <c r="O29" s="238"/>
      <c r="P29" s="239" t="str">
        <f t="shared" si="25"/>
        <v>0</v>
      </c>
      <c r="Q29" s="240">
        <f t="shared" si="1"/>
        <v>0</v>
      </c>
      <c r="R29" s="256">
        <f t="shared" si="2"/>
        <v>0</v>
      </c>
      <c r="S29" s="257" t="str">
        <f t="shared" si="3"/>
        <v>0</v>
      </c>
      <c r="T29" s="256" t="str">
        <f t="shared" si="4"/>
        <v>0</v>
      </c>
      <c r="U29" s="257" t="str">
        <f t="shared" si="5"/>
        <v>0</v>
      </c>
      <c r="V29" s="256" t="str">
        <f t="shared" si="6"/>
        <v>0</v>
      </c>
      <c r="W29" s="257" t="str">
        <f t="shared" si="7"/>
        <v>0</v>
      </c>
      <c r="X29" s="256" t="str">
        <f t="shared" si="8"/>
        <v>0</v>
      </c>
      <c r="Y29" s="257" t="str">
        <f t="shared" si="9"/>
        <v>0</v>
      </c>
      <c r="Z29" s="256" t="str">
        <f t="shared" si="10"/>
        <v>0</v>
      </c>
      <c r="AA29" s="257" t="str">
        <f t="shared" si="11"/>
        <v>0</v>
      </c>
      <c r="AB29" s="256" t="str">
        <f t="shared" si="12"/>
        <v>0</v>
      </c>
      <c r="AC29" s="257" t="str">
        <f t="shared" si="13"/>
        <v>0</v>
      </c>
      <c r="AD29" s="256" t="str">
        <f t="shared" si="14"/>
        <v>0</v>
      </c>
      <c r="AE29" s="257" t="str">
        <f t="shared" si="15"/>
        <v>0</v>
      </c>
      <c r="AF29" s="256" t="str">
        <f t="shared" si="16"/>
        <v>0</v>
      </c>
      <c r="AG29" s="257" t="str">
        <f t="shared" si="17"/>
        <v>0</v>
      </c>
      <c r="AH29" s="256" t="str">
        <f t="shared" si="18"/>
        <v>0</v>
      </c>
      <c r="AI29" s="257" t="str">
        <f t="shared" si="19"/>
        <v>0</v>
      </c>
      <c r="AJ29" s="256" t="str">
        <f t="shared" si="20"/>
        <v>0</v>
      </c>
      <c r="AK29" s="257" t="str">
        <f t="shared" si="21"/>
        <v>0</v>
      </c>
      <c r="AL29" s="258" t="str">
        <f t="shared" si="22"/>
        <v>0</v>
      </c>
      <c r="AM29" s="257" t="str">
        <f t="shared" si="23"/>
        <v>0</v>
      </c>
      <c r="AN29" s="255" t="str">
        <f t="shared" si="24"/>
        <v>0</v>
      </c>
    </row>
    <row r="30" spans="1:40" x14ac:dyDescent="0.2">
      <c r="A30" s="246"/>
      <c r="B30" s="247"/>
      <c r="C30" s="247"/>
      <c r="D30" s="248"/>
      <c r="E30" s="249"/>
      <c r="F30" s="250"/>
      <c r="G30" s="251"/>
      <c r="H30" s="260"/>
      <c r="I30" s="253"/>
      <c r="J30" s="254"/>
      <c r="K30" s="572" t="str">
        <f t="shared" si="0"/>
        <v/>
      </c>
      <c r="L30" s="418"/>
      <c r="M30" s="236" t="str">
        <f>IF((ISBLANK(A30)),"",'Fee calc_closed Transactions'!F30)</f>
        <v/>
      </c>
      <c r="N30" s="237" t="str">
        <f>IF(K30="","",'Fee calc_closed Transactions'!G30)</f>
        <v/>
      </c>
      <c r="O30" s="238"/>
      <c r="P30" s="239" t="str">
        <f t="shared" si="25"/>
        <v>0</v>
      </c>
      <c r="Q30" s="240">
        <f t="shared" si="1"/>
        <v>0</v>
      </c>
      <c r="R30" s="256">
        <f t="shared" si="2"/>
        <v>0</v>
      </c>
      <c r="S30" s="257" t="str">
        <f t="shared" si="3"/>
        <v>0</v>
      </c>
      <c r="T30" s="256" t="str">
        <f t="shared" si="4"/>
        <v>0</v>
      </c>
      <c r="U30" s="257" t="str">
        <f t="shared" si="5"/>
        <v>0</v>
      </c>
      <c r="V30" s="256" t="str">
        <f t="shared" si="6"/>
        <v>0</v>
      </c>
      <c r="W30" s="257" t="str">
        <f t="shared" si="7"/>
        <v>0</v>
      </c>
      <c r="X30" s="256" t="str">
        <f t="shared" si="8"/>
        <v>0</v>
      </c>
      <c r="Y30" s="257" t="str">
        <f t="shared" si="9"/>
        <v>0</v>
      </c>
      <c r="Z30" s="256" t="str">
        <f t="shared" si="10"/>
        <v>0</v>
      </c>
      <c r="AA30" s="257" t="str">
        <f t="shared" si="11"/>
        <v>0</v>
      </c>
      <c r="AB30" s="256" t="str">
        <f t="shared" si="12"/>
        <v>0</v>
      </c>
      <c r="AC30" s="257" t="str">
        <f t="shared" si="13"/>
        <v>0</v>
      </c>
      <c r="AD30" s="256" t="str">
        <f t="shared" si="14"/>
        <v>0</v>
      </c>
      <c r="AE30" s="257" t="str">
        <f t="shared" si="15"/>
        <v>0</v>
      </c>
      <c r="AF30" s="256" t="str">
        <f t="shared" si="16"/>
        <v>0</v>
      </c>
      <c r="AG30" s="257" t="str">
        <f t="shared" si="17"/>
        <v>0</v>
      </c>
      <c r="AH30" s="256" t="str">
        <f t="shared" si="18"/>
        <v>0</v>
      </c>
      <c r="AI30" s="257" t="str">
        <f t="shared" si="19"/>
        <v>0</v>
      </c>
      <c r="AJ30" s="256" t="str">
        <f t="shared" si="20"/>
        <v>0</v>
      </c>
      <c r="AK30" s="257" t="str">
        <f t="shared" si="21"/>
        <v>0</v>
      </c>
      <c r="AL30" s="258" t="str">
        <f t="shared" si="22"/>
        <v>0</v>
      </c>
      <c r="AM30" s="257" t="str">
        <f t="shared" si="23"/>
        <v>0</v>
      </c>
      <c r="AN30" s="255" t="str">
        <f t="shared" si="24"/>
        <v>0</v>
      </c>
    </row>
    <row r="31" spans="1:40" x14ac:dyDescent="0.2">
      <c r="A31" s="246"/>
      <c r="B31" s="247"/>
      <c r="C31" s="247"/>
      <c r="D31" s="248"/>
      <c r="E31" s="249"/>
      <c r="F31" s="250"/>
      <c r="G31" s="251"/>
      <c r="H31" s="260"/>
      <c r="I31" s="253"/>
      <c r="J31" s="254"/>
      <c r="K31" s="572" t="str">
        <f t="shared" si="0"/>
        <v/>
      </c>
      <c r="L31" s="418"/>
      <c r="M31" s="236" t="str">
        <f>IF((ISBLANK(A31)),"",'Fee calc_closed Transactions'!F31)</f>
        <v/>
      </c>
      <c r="N31" s="237" t="str">
        <f>IF(K31="","",'Fee calc_closed Transactions'!G31)</f>
        <v/>
      </c>
      <c r="O31" s="238"/>
      <c r="P31" s="239" t="str">
        <f t="shared" si="25"/>
        <v>0</v>
      </c>
      <c r="Q31" s="240">
        <f t="shared" si="1"/>
        <v>0</v>
      </c>
      <c r="R31" s="256">
        <f t="shared" si="2"/>
        <v>0</v>
      </c>
      <c r="S31" s="257" t="str">
        <f t="shared" si="3"/>
        <v>0</v>
      </c>
      <c r="T31" s="256" t="str">
        <f t="shared" si="4"/>
        <v>0</v>
      </c>
      <c r="U31" s="257" t="str">
        <f t="shared" si="5"/>
        <v>0</v>
      </c>
      <c r="V31" s="256" t="str">
        <f t="shared" si="6"/>
        <v>0</v>
      </c>
      <c r="W31" s="257" t="str">
        <f t="shared" si="7"/>
        <v>0</v>
      </c>
      <c r="X31" s="256" t="str">
        <f t="shared" si="8"/>
        <v>0</v>
      </c>
      <c r="Y31" s="257" t="str">
        <f t="shared" si="9"/>
        <v>0</v>
      </c>
      <c r="Z31" s="256" t="str">
        <f t="shared" si="10"/>
        <v>0</v>
      </c>
      <c r="AA31" s="257" t="str">
        <f t="shared" si="11"/>
        <v>0</v>
      </c>
      <c r="AB31" s="256" t="str">
        <f t="shared" si="12"/>
        <v>0</v>
      </c>
      <c r="AC31" s="257" t="str">
        <f t="shared" si="13"/>
        <v>0</v>
      </c>
      <c r="AD31" s="256" t="str">
        <f t="shared" si="14"/>
        <v>0</v>
      </c>
      <c r="AE31" s="257" t="str">
        <f t="shared" si="15"/>
        <v>0</v>
      </c>
      <c r="AF31" s="256" t="str">
        <f t="shared" si="16"/>
        <v>0</v>
      </c>
      <c r="AG31" s="257" t="str">
        <f t="shared" si="17"/>
        <v>0</v>
      </c>
      <c r="AH31" s="256" t="str">
        <f t="shared" si="18"/>
        <v>0</v>
      </c>
      <c r="AI31" s="257" t="str">
        <f t="shared" si="19"/>
        <v>0</v>
      </c>
      <c r="AJ31" s="256" t="str">
        <f t="shared" si="20"/>
        <v>0</v>
      </c>
      <c r="AK31" s="257" t="str">
        <f t="shared" si="21"/>
        <v>0</v>
      </c>
      <c r="AL31" s="258" t="str">
        <f t="shared" si="22"/>
        <v>0</v>
      </c>
      <c r="AM31" s="257" t="str">
        <f t="shared" si="23"/>
        <v>0</v>
      </c>
      <c r="AN31" s="255" t="str">
        <f t="shared" si="24"/>
        <v>0</v>
      </c>
    </row>
    <row r="32" spans="1:40" x14ac:dyDescent="0.2">
      <c r="A32" s="246"/>
      <c r="B32" s="247"/>
      <c r="C32" s="247"/>
      <c r="D32" s="248"/>
      <c r="E32" s="249"/>
      <c r="F32" s="250"/>
      <c r="G32" s="251"/>
      <c r="H32" s="260"/>
      <c r="I32" s="253"/>
      <c r="J32" s="254"/>
      <c r="K32" s="572" t="str">
        <f t="shared" si="0"/>
        <v/>
      </c>
      <c r="L32" s="418"/>
      <c r="M32" s="236" t="str">
        <f>IF((ISBLANK(A32)),"",'Fee calc_closed Transactions'!F32)</f>
        <v/>
      </c>
      <c r="N32" s="237" t="str">
        <f>IF(K32="","",'Fee calc_closed Transactions'!G32)</f>
        <v/>
      </c>
      <c r="O32" s="238"/>
      <c r="P32" s="239" t="str">
        <f t="shared" si="25"/>
        <v>0</v>
      </c>
      <c r="Q32" s="240">
        <f t="shared" si="1"/>
        <v>0</v>
      </c>
      <c r="R32" s="256">
        <f t="shared" si="2"/>
        <v>0</v>
      </c>
      <c r="S32" s="257" t="str">
        <f t="shared" si="3"/>
        <v>0</v>
      </c>
      <c r="T32" s="256" t="str">
        <f t="shared" si="4"/>
        <v>0</v>
      </c>
      <c r="U32" s="257" t="str">
        <f t="shared" si="5"/>
        <v>0</v>
      </c>
      <c r="V32" s="256" t="str">
        <f t="shared" si="6"/>
        <v>0</v>
      </c>
      <c r="W32" s="257" t="str">
        <f t="shared" si="7"/>
        <v>0</v>
      </c>
      <c r="X32" s="256" t="str">
        <f t="shared" si="8"/>
        <v>0</v>
      </c>
      <c r="Y32" s="257" t="str">
        <f t="shared" si="9"/>
        <v>0</v>
      </c>
      <c r="Z32" s="256" t="str">
        <f t="shared" si="10"/>
        <v>0</v>
      </c>
      <c r="AA32" s="257" t="str">
        <f t="shared" si="11"/>
        <v>0</v>
      </c>
      <c r="AB32" s="256" t="str">
        <f t="shared" si="12"/>
        <v>0</v>
      </c>
      <c r="AC32" s="257" t="str">
        <f t="shared" si="13"/>
        <v>0</v>
      </c>
      <c r="AD32" s="256" t="str">
        <f t="shared" si="14"/>
        <v>0</v>
      </c>
      <c r="AE32" s="257" t="str">
        <f t="shared" si="15"/>
        <v>0</v>
      </c>
      <c r="AF32" s="256" t="str">
        <f t="shared" si="16"/>
        <v>0</v>
      </c>
      <c r="AG32" s="257" t="str">
        <f t="shared" si="17"/>
        <v>0</v>
      </c>
      <c r="AH32" s="256" t="str">
        <f t="shared" si="18"/>
        <v>0</v>
      </c>
      <c r="AI32" s="257" t="str">
        <f t="shared" si="19"/>
        <v>0</v>
      </c>
      <c r="AJ32" s="256" t="str">
        <f t="shared" si="20"/>
        <v>0</v>
      </c>
      <c r="AK32" s="257" t="str">
        <f t="shared" si="21"/>
        <v>0</v>
      </c>
      <c r="AL32" s="258" t="str">
        <f t="shared" si="22"/>
        <v>0</v>
      </c>
      <c r="AM32" s="257" t="str">
        <f t="shared" si="23"/>
        <v>0</v>
      </c>
      <c r="AN32" s="255" t="str">
        <f t="shared" si="24"/>
        <v>0</v>
      </c>
    </row>
    <row r="33" spans="1:40" x14ac:dyDescent="0.2">
      <c r="A33" s="246"/>
      <c r="B33" s="247"/>
      <c r="C33" s="247"/>
      <c r="D33" s="248"/>
      <c r="E33" s="249"/>
      <c r="F33" s="250"/>
      <c r="G33" s="251"/>
      <c r="H33" s="260"/>
      <c r="I33" s="253"/>
      <c r="J33" s="254"/>
      <c r="K33" s="572" t="str">
        <f t="shared" si="0"/>
        <v/>
      </c>
      <c r="L33" s="418"/>
      <c r="M33" s="236" t="str">
        <f>IF((ISBLANK(A33)),"",'Fee calc_closed Transactions'!F33)</f>
        <v/>
      </c>
      <c r="N33" s="237" t="str">
        <f>IF(K33="","",'Fee calc_closed Transactions'!G33)</f>
        <v/>
      </c>
      <c r="O33" s="238"/>
      <c r="P33" s="239" t="str">
        <f t="shared" si="25"/>
        <v>0</v>
      </c>
      <c r="Q33" s="240">
        <f t="shared" si="1"/>
        <v>0</v>
      </c>
      <c r="R33" s="256">
        <f t="shared" si="2"/>
        <v>0</v>
      </c>
      <c r="S33" s="257" t="str">
        <f t="shared" si="3"/>
        <v>0</v>
      </c>
      <c r="T33" s="256" t="str">
        <f t="shared" si="4"/>
        <v>0</v>
      </c>
      <c r="U33" s="257" t="str">
        <f t="shared" si="5"/>
        <v>0</v>
      </c>
      <c r="V33" s="256" t="str">
        <f t="shared" si="6"/>
        <v>0</v>
      </c>
      <c r="W33" s="257" t="str">
        <f t="shared" si="7"/>
        <v>0</v>
      </c>
      <c r="X33" s="256" t="str">
        <f t="shared" si="8"/>
        <v>0</v>
      </c>
      <c r="Y33" s="257" t="str">
        <f t="shared" si="9"/>
        <v>0</v>
      </c>
      <c r="Z33" s="256" t="str">
        <f t="shared" si="10"/>
        <v>0</v>
      </c>
      <c r="AA33" s="257" t="str">
        <f t="shared" si="11"/>
        <v>0</v>
      </c>
      <c r="AB33" s="256" t="str">
        <f t="shared" si="12"/>
        <v>0</v>
      </c>
      <c r="AC33" s="257" t="str">
        <f t="shared" si="13"/>
        <v>0</v>
      </c>
      <c r="AD33" s="256" t="str">
        <f t="shared" si="14"/>
        <v>0</v>
      </c>
      <c r="AE33" s="257" t="str">
        <f t="shared" si="15"/>
        <v>0</v>
      </c>
      <c r="AF33" s="256" t="str">
        <f t="shared" si="16"/>
        <v>0</v>
      </c>
      <c r="AG33" s="257" t="str">
        <f t="shared" si="17"/>
        <v>0</v>
      </c>
      <c r="AH33" s="256" t="str">
        <f t="shared" si="18"/>
        <v>0</v>
      </c>
      <c r="AI33" s="257" t="str">
        <f t="shared" si="19"/>
        <v>0</v>
      </c>
      <c r="AJ33" s="256" t="str">
        <f t="shared" si="20"/>
        <v>0</v>
      </c>
      <c r="AK33" s="257" t="str">
        <f t="shared" si="21"/>
        <v>0</v>
      </c>
      <c r="AL33" s="258" t="str">
        <f t="shared" si="22"/>
        <v>0</v>
      </c>
      <c r="AM33" s="257" t="str">
        <f t="shared" si="23"/>
        <v>0</v>
      </c>
      <c r="AN33" s="255" t="str">
        <f t="shared" si="24"/>
        <v>0</v>
      </c>
    </row>
    <row r="34" spans="1:40" x14ac:dyDescent="0.2">
      <c r="A34" s="246"/>
      <c r="B34" s="247"/>
      <c r="C34" s="247"/>
      <c r="D34" s="248"/>
      <c r="E34" s="249"/>
      <c r="F34" s="250"/>
      <c r="G34" s="251"/>
      <c r="H34" s="260"/>
      <c r="I34" s="253"/>
      <c r="J34" s="254"/>
      <c r="K34" s="572" t="str">
        <f t="shared" si="0"/>
        <v/>
      </c>
      <c r="L34" s="418"/>
      <c r="M34" s="236" t="str">
        <f>IF((ISBLANK(A34)),"",'Fee calc_closed Transactions'!F34)</f>
        <v/>
      </c>
      <c r="N34" s="237" t="str">
        <f>IF(K34="","",'Fee calc_closed Transactions'!G34)</f>
        <v/>
      </c>
      <c r="O34" s="238"/>
      <c r="P34" s="239" t="str">
        <f t="shared" si="25"/>
        <v>0</v>
      </c>
      <c r="Q34" s="240">
        <f t="shared" si="1"/>
        <v>0</v>
      </c>
      <c r="R34" s="256">
        <f t="shared" si="2"/>
        <v>0</v>
      </c>
      <c r="S34" s="257" t="str">
        <f t="shared" si="3"/>
        <v>0</v>
      </c>
      <c r="T34" s="256" t="str">
        <f t="shared" si="4"/>
        <v>0</v>
      </c>
      <c r="U34" s="257" t="str">
        <f t="shared" si="5"/>
        <v>0</v>
      </c>
      <c r="V34" s="256" t="str">
        <f t="shared" si="6"/>
        <v>0</v>
      </c>
      <c r="W34" s="257" t="str">
        <f t="shared" si="7"/>
        <v>0</v>
      </c>
      <c r="X34" s="256" t="str">
        <f t="shared" si="8"/>
        <v>0</v>
      </c>
      <c r="Y34" s="257" t="str">
        <f t="shared" si="9"/>
        <v>0</v>
      </c>
      <c r="Z34" s="256" t="str">
        <f t="shared" si="10"/>
        <v>0</v>
      </c>
      <c r="AA34" s="257" t="str">
        <f t="shared" si="11"/>
        <v>0</v>
      </c>
      <c r="AB34" s="256" t="str">
        <f t="shared" si="12"/>
        <v>0</v>
      </c>
      <c r="AC34" s="257" t="str">
        <f t="shared" si="13"/>
        <v>0</v>
      </c>
      <c r="AD34" s="256" t="str">
        <f t="shared" si="14"/>
        <v>0</v>
      </c>
      <c r="AE34" s="257" t="str">
        <f t="shared" si="15"/>
        <v>0</v>
      </c>
      <c r="AF34" s="256" t="str">
        <f t="shared" si="16"/>
        <v>0</v>
      </c>
      <c r="AG34" s="257" t="str">
        <f t="shared" si="17"/>
        <v>0</v>
      </c>
      <c r="AH34" s="256" t="str">
        <f t="shared" si="18"/>
        <v>0</v>
      </c>
      <c r="AI34" s="257" t="str">
        <f t="shared" si="19"/>
        <v>0</v>
      </c>
      <c r="AJ34" s="256" t="str">
        <f t="shared" si="20"/>
        <v>0</v>
      </c>
      <c r="AK34" s="257" t="str">
        <f t="shared" si="21"/>
        <v>0</v>
      </c>
      <c r="AL34" s="258" t="str">
        <f t="shared" si="22"/>
        <v>0</v>
      </c>
      <c r="AM34" s="257" t="str">
        <f t="shared" si="23"/>
        <v>0</v>
      </c>
      <c r="AN34" s="255" t="str">
        <f t="shared" si="24"/>
        <v>0</v>
      </c>
    </row>
    <row r="35" spans="1:40" x14ac:dyDescent="0.2">
      <c r="A35" s="246"/>
      <c r="B35" s="247"/>
      <c r="C35" s="247"/>
      <c r="D35" s="248"/>
      <c r="E35" s="249"/>
      <c r="F35" s="250"/>
      <c r="G35" s="251"/>
      <c r="H35" s="260"/>
      <c r="I35" s="253"/>
      <c r="J35" s="254"/>
      <c r="K35" s="572" t="str">
        <f t="shared" ref="K35:K64" si="26">IF(ISBLANK(A35),"",(I35*J35))</f>
        <v/>
      </c>
      <c r="L35" s="418"/>
      <c r="M35" s="236" t="str">
        <f>IF((ISBLANK(A35)),"",'Fee calc_closed Transactions'!F35)</f>
        <v/>
      </c>
      <c r="N35" s="237" t="str">
        <f>IF(K35="","",'Fee calc_closed Transactions'!G35)</f>
        <v/>
      </c>
      <c r="O35" s="238"/>
      <c r="P35" s="239" t="str">
        <f t="shared" si="25"/>
        <v>0</v>
      </c>
      <c r="Q35" s="240">
        <f t="shared" ref="Q35:Q64" si="27">IF(MONTH(A35)=1,IF((ISBLANK(B35)),0,(M35)),"0")</f>
        <v>0</v>
      </c>
      <c r="R35" s="256">
        <f t="shared" ref="R35:R64" si="28">IF(MONTH(A35)=1,IF((ISBLANK(C35)),0,(M35)),"0")</f>
        <v>0</v>
      </c>
      <c r="S35" s="257" t="str">
        <f t="shared" ref="S35:S64" si="29">IF(MONTH(A35)=2,IF((ISBLANK(B35)),0,(M35)),"0")</f>
        <v>0</v>
      </c>
      <c r="T35" s="256" t="str">
        <f t="shared" ref="T35:T64" si="30">IF(MONTH(A35)=2,IF((ISBLANK(C35)),0,(M35)),"0")</f>
        <v>0</v>
      </c>
      <c r="U35" s="257" t="str">
        <f t="shared" ref="U35:U64" si="31">IF(MONTH(A35)=3,IF((ISBLANK(B35)),0,(M35)),"0")</f>
        <v>0</v>
      </c>
      <c r="V35" s="256" t="str">
        <f t="shared" ref="V35:V64" si="32">IF(MONTH(A35)=3,IF((ISBLANK(C35)),0,(M35)),"0")</f>
        <v>0</v>
      </c>
      <c r="W35" s="257" t="str">
        <f t="shared" ref="W35:W64" si="33">IF(MONTH(A35)=4,IF((ISBLANK(B35)),0,(M35)),"0")</f>
        <v>0</v>
      </c>
      <c r="X35" s="256" t="str">
        <f t="shared" ref="X35:X64" si="34">IF(MONTH(A35)=4,IF((ISBLANK(C35)),0,(M35)),"0")</f>
        <v>0</v>
      </c>
      <c r="Y35" s="257" t="str">
        <f t="shared" ref="Y35:Y64" si="35">IF(MONTH(A35)=5,IF((ISBLANK(B35)),0,(M35)),"0")</f>
        <v>0</v>
      </c>
      <c r="Z35" s="256" t="str">
        <f t="shared" ref="Z35:Z64" si="36">IF(MONTH(A35)=5,IF((ISBLANK(C35)),0,(M35)),"0")</f>
        <v>0</v>
      </c>
      <c r="AA35" s="257" t="str">
        <f t="shared" ref="AA35:AA64" si="37">IF(MONTH(A35)=6,IF((ISBLANK(B35)),0,(M35)),"0")</f>
        <v>0</v>
      </c>
      <c r="AB35" s="256" t="str">
        <f t="shared" ref="AB35:AB64" si="38">IF(MONTH(A35)=6,IF((ISBLANK(C35)),0,(M35)),"0")</f>
        <v>0</v>
      </c>
      <c r="AC35" s="257" t="str">
        <f t="shared" ref="AC35:AC64" si="39">IF(MONTH(A35)=7,IF((ISBLANK(B35)),0,(M35)),"0")</f>
        <v>0</v>
      </c>
      <c r="AD35" s="256" t="str">
        <f t="shared" ref="AD35:AD64" si="40">IF(MONTH(A35)=7,IF((ISBLANK(C35)),0,(M35)),"0")</f>
        <v>0</v>
      </c>
      <c r="AE35" s="257" t="str">
        <f t="shared" ref="AE35:AE64" si="41">IF(MONTH(A35)=8,IF((ISBLANK(B35)),0,(M35)),"0")</f>
        <v>0</v>
      </c>
      <c r="AF35" s="256" t="str">
        <f t="shared" ref="AF35:AF64" si="42">IF(MONTH(A35)=8,IF((ISBLANK(C35)),0,(M35)),"0")</f>
        <v>0</v>
      </c>
      <c r="AG35" s="257" t="str">
        <f t="shared" ref="AG35:AG64" si="43">IF(MONTH(A35)=9,IF((ISBLANK(B35)),0,(M35)),"0")</f>
        <v>0</v>
      </c>
      <c r="AH35" s="256" t="str">
        <f t="shared" ref="AH35:AH64" si="44">IF(MONTH(A35)=9,IF((ISBLANK(C35)),0,(M35)),"0")</f>
        <v>0</v>
      </c>
      <c r="AI35" s="257" t="str">
        <f t="shared" ref="AI35:AI64" si="45">IF(MONTH(A35)=10,IF((ISBLANK(B35)),0,(M35)),"0")</f>
        <v>0</v>
      </c>
      <c r="AJ35" s="256" t="str">
        <f t="shared" ref="AJ35:AJ64" si="46">IF(MONTH(A35)=10,IF((ISBLANK(C35)),0,(M35)),"0")</f>
        <v>0</v>
      </c>
      <c r="AK35" s="257" t="str">
        <f t="shared" ref="AK35:AK64" si="47">IF(MONTH(A35)=11,IF((ISBLANK(B35)),0,(M35)),"0")</f>
        <v>0</v>
      </c>
      <c r="AL35" s="258" t="str">
        <f t="shared" ref="AL35:AL64" si="48">IF(MONTH(A35)=11,IF((ISBLANK(C35)),0,(M35)),"0")</f>
        <v>0</v>
      </c>
      <c r="AM35" s="257" t="str">
        <f t="shared" ref="AM35:AM64" si="49">IF(MONTH(A35)=12,IF((ISBLANK(B35)),0,(M35)),"0")</f>
        <v>0</v>
      </c>
      <c r="AN35" s="255" t="str">
        <f t="shared" ref="AN35:AN64" si="50">IF(MONTH(A35)=12,IF((ISBLANK(C35)),0,(M35)),"0")</f>
        <v>0</v>
      </c>
    </row>
    <row r="36" spans="1:40" x14ac:dyDescent="0.2">
      <c r="A36" s="246"/>
      <c r="B36" s="247"/>
      <c r="C36" s="247"/>
      <c r="D36" s="248"/>
      <c r="E36" s="249"/>
      <c r="F36" s="250"/>
      <c r="G36" s="251"/>
      <c r="H36" s="260"/>
      <c r="I36" s="253"/>
      <c r="J36" s="254"/>
      <c r="K36" s="572" t="str">
        <f t="shared" si="26"/>
        <v/>
      </c>
      <c r="L36" s="418"/>
      <c r="M36" s="236" t="str">
        <f>IF((ISBLANK(A36)),"",'Fee calc_closed Transactions'!F36)</f>
        <v/>
      </c>
      <c r="N36" s="237" t="str">
        <f>IF(K36="","",'Fee calc_closed Transactions'!G36)</f>
        <v/>
      </c>
      <c r="O36" s="238"/>
      <c r="P36" s="239" t="str">
        <f t="shared" si="25"/>
        <v>0</v>
      </c>
      <c r="Q36" s="240">
        <f t="shared" si="27"/>
        <v>0</v>
      </c>
      <c r="R36" s="256">
        <f t="shared" si="28"/>
        <v>0</v>
      </c>
      <c r="S36" s="257" t="str">
        <f t="shared" si="29"/>
        <v>0</v>
      </c>
      <c r="T36" s="256" t="str">
        <f t="shared" si="30"/>
        <v>0</v>
      </c>
      <c r="U36" s="257" t="str">
        <f t="shared" si="31"/>
        <v>0</v>
      </c>
      <c r="V36" s="256" t="str">
        <f t="shared" si="32"/>
        <v>0</v>
      </c>
      <c r="W36" s="257" t="str">
        <f t="shared" si="33"/>
        <v>0</v>
      </c>
      <c r="X36" s="256" t="str">
        <f t="shared" si="34"/>
        <v>0</v>
      </c>
      <c r="Y36" s="257" t="str">
        <f t="shared" si="35"/>
        <v>0</v>
      </c>
      <c r="Z36" s="256" t="str">
        <f t="shared" si="36"/>
        <v>0</v>
      </c>
      <c r="AA36" s="257" t="str">
        <f t="shared" si="37"/>
        <v>0</v>
      </c>
      <c r="AB36" s="256" t="str">
        <f t="shared" si="38"/>
        <v>0</v>
      </c>
      <c r="AC36" s="257" t="str">
        <f t="shared" si="39"/>
        <v>0</v>
      </c>
      <c r="AD36" s="256" t="str">
        <f t="shared" si="40"/>
        <v>0</v>
      </c>
      <c r="AE36" s="257" t="str">
        <f t="shared" si="41"/>
        <v>0</v>
      </c>
      <c r="AF36" s="256" t="str">
        <f t="shared" si="42"/>
        <v>0</v>
      </c>
      <c r="AG36" s="257" t="str">
        <f t="shared" si="43"/>
        <v>0</v>
      </c>
      <c r="AH36" s="256" t="str">
        <f t="shared" si="44"/>
        <v>0</v>
      </c>
      <c r="AI36" s="257" t="str">
        <f t="shared" si="45"/>
        <v>0</v>
      </c>
      <c r="AJ36" s="256" t="str">
        <f t="shared" si="46"/>
        <v>0</v>
      </c>
      <c r="AK36" s="257" t="str">
        <f t="shared" si="47"/>
        <v>0</v>
      </c>
      <c r="AL36" s="258" t="str">
        <f t="shared" si="48"/>
        <v>0</v>
      </c>
      <c r="AM36" s="257" t="str">
        <f t="shared" si="49"/>
        <v>0</v>
      </c>
      <c r="AN36" s="255" t="str">
        <f t="shared" si="50"/>
        <v>0</v>
      </c>
    </row>
    <row r="37" spans="1:40" x14ac:dyDescent="0.2">
      <c r="A37" s="246"/>
      <c r="B37" s="247"/>
      <c r="C37" s="247"/>
      <c r="D37" s="248"/>
      <c r="E37" s="249"/>
      <c r="F37" s="250"/>
      <c r="G37" s="251"/>
      <c r="H37" s="260"/>
      <c r="I37" s="253"/>
      <c r="J37" s="254"/>
      <c r="K37" s="572" t="str">
        <f t="shared" si="26"/>
        <v/>
      </c>
      <c r="L37" s="418"/>
      <c r="M37" s="236" t="str">
        <f>IF((ISBLANK(A37)),"",'Fee calc_closed Transactions'!F37)</f>
        <v/>
      </c>
      <c r="N37" s="237" t="str">
        <f>IF(K37="","",'Fee calc_closed Transactions'!G37)</f>
        <v/>
      </c>
      <c r="O37" s="238"/>
      <c r="P37" s="239" t="str">
        <f t="shared" si="25"/>
        <v>0</v>
      </c>
      <c r="Q37" s="240">
        <f t="shared" si="27"/>
        <v>0</v>
      </c>
      <c r="R37" s="256">
        <f t="shared" si="28"/>
        <v>0</v>
      </c>
      <c r="S37" s="257" t="str">
        <f t="shared" si="29"/>
        <v>0</v>
      </c>
      <c r="T37" s="256" t="str">
        <f t="shared" si="30"/>
        <v>0</v>
      </c>
      <c r="U37" s="257" t="str">
        <f t="shared" si="31"/>
        <v>0</v>
      </c>
      <c r="V37" s="256" t="str">
        <f t="shared" si="32"/>
        <v>0</v>
      </c>
      <c r="W37" s="257" t="str">
        <f t="shared" si="33"/>
        <v>0</v>
      </c>
      <c r="X37" s="256" t="str">
        <f t="shared" si="34"/>
        <v>0</v>
      </c>
      <c r="Y37" s="257" t="str">
        <f t="shared" si="35"/>
        <v>0</v>
      </c>
      <c r="Z37" s="256" t="str">
        <f t="shared" si="36"/>
        <v>0</v>
      </c>
      <c r="AA37" s="257" t="str">
        <f t="shared" si="37"/>
        <v>0</v>
      </c>
      <c r="AB37" s="256" t="str">
        <f t="shared" si="38"/>
        <v>0</v>
      </c>
      <c r="AC37" s="257" t="str">
        <f t="shared" si="39"/>
        <v>0</v>
      </c>
      <c r="AD37" s="256" t="str">
        <f t="shared" si="40"/>
        <v>0</v>
      </c>
      <c r="AE37" s="257" t="str">
        <f t="shared" si="41"/>
        <v>0</v>
      </c>
      <c r="AF37" s="256" t="str">
        <f t="shared" si="42"/>
        <v>0</v>
      </c>
      <c r="AG37" s="257" t="str">
        <f t="shared" si="43"/>
        <v>0</v>
      </c>
      <c r="AH37" s="256" t="str">
        <f t="shared" si="44"/>
        <v>0</v>
      </c>
      <c r="AI37" s="257" t="str">
        <f t="shared" si="45"/>
        <v>0</v>
      </c>
      <c r="AJ37" s="256" t="str">
        <f t="shared" si="46"/>
        <v>0</v>
      </c>
      <c r="AK37" s="257" t="str">
        <f t="shared" si="47"/>
        <v>0</v>
      </c>
      <c r="AL37" s="258" t="str">
        <f t="shared" si="48"/>
        <v>0</v>
      </c>
      <c r="AM37" s="257" t="str">
        <f t="shared" si="49"/>
        <v>0</v>
      </c>
      <c r="AN37" s="255" t="str">
        <f t="shared" si="50"/>
        <v>0</v>
      </c>
    </row>
    <row r="38" spans="1:40" x14ac:dyDescent="0.2">
      <c r="A38" s="246"/>
      <c r="B38" s="247"/>
      <c r="C38" s="247"/>
      <c r="D38" s="248"/>
      <c r="E38" s="249"/>
      <c r="F38" s="250"/>
      <c r="G38" s="251"/>
      <c r="H38" s="260"/>
      <c r="I38" s="253"/>
      <c r="J38" s="254"/>
      <c r="K38" s="572" t="str">
        <f t="shared" si="26"/>
        <v/>
      </c>
      <c r="L38" s="418"/>
      <c r="M38" s="236" t="str">
        <f>IF((ISBLANK(A38)),"",'Fee calc_closed Transactions'!F38)</f>
        <v/>
      </c>
      <c r="N38" s="237" t="str">
        <f>IF(K38="","",'Fee calc_closed Transactions'!G38)</f>
        <v/>
      </c>
      <c r="O38" s="238"/>
      <c r="P38" s="239" t="str">
        <f t="shared" si="25"/>
        <v>0</v>
      </c>
      <c r="Q38" s="240">
        <f t="shared" si="27"/>
        <v>0</v>
      </c>
      <c r="R38" s="256">
        <f t="shared" si="28"/>
        <v>0</v>
      </c>
      <c r="S38" s="257" t="str">
        <f t="shared" si="29"/>
        <v>0</v>
      </c>
      <c r="T38" s="256" t="str">
        <f t="shared" si="30"/>
        <v>0</v>
      </c>
      <c r="U38" s="257" t="str">
        <f t="shared" si="31"/>
        <v>0</v>
      </c>
      <c r="V38" s="256" t="str">
        <f t="shared" si="32"/>
        <v>0</v>
      </c>
      <c r="W38" s="257" t="str">
        <f t="shared" si="33"/>
        <v>0</v>
      </c>
      <c r="X38" s="256" t="str">
        <f t="shared" si="34"/>
        <v>0</v>
      </c>
      <c r="Y38" s="257" t="str">
        <f t="shared" si="35"/>
        <v>0</v>
      </c>
      <c r="Z38" s="256" t="str">
        <f t="shared" si="36"/>
        <v>0</v>
      </c>
      <c r="AA38" s="257" t="str">
        <f t="shared" si="37"/>
        <v>0</v>
      </c>
      <c r="AB38" s="256" t="str">
        <f t="shared" si="38"/>
        <v>0</v>
      </c>
      <c r="AC38" s="257" t="str">
        <f t="shared" si="39"/>
        <v>0</v>
      </c>
      <c r="AD38" s="256" t="str">
        <f t="shared" si="40"/>
        <v>0</v>
      </c>
      <c r="AE38" s="257" t="str">
        <f t="shared" si="41"/>
        <v>0</v>
      </c>
      <c r="AF38" s="256" t="str">
        <f t="shared" si="42"/>
        <v>0</v>
      </c>
      <c r="AG38" s="257" t="str">
        <f t="shared" si="43"/>
        <v>0</v>
      </c>
      <c r="AH38" s="256" t="str">
        <f t="shared" si="44"/>
        <v>0</v>
      </c>
      <c r="AI38" s="257" t="str">
        <f t="shared" si="45"/>
        <v>0</v>
      </c>
      <c r="AJ38" s="256" t="str">
        <f t="shared" si="46"/>
        <v>0</v>
      </c>
      <c r="AK38" s="257" t="str">
        <f t="shared" si="47"/>
        <v>0</v>
      </c>
      <c r="AL38" s="258" t="str">
        <f t="shared" si="48"/>
        <v>0</v>
      </c>
      <c r="AM38" s="257" t="str">
        <f t="shared" si="49"/>
        <v>0</v>
      </c>
      <c r="AN38" s="255" t="str">
        <f t="shared" si="50"/>
        <v>0</v>
      </c>
    </row>
    <row r="39" spans="1:40" x14ac:dyDescent="0.2">
      <c r="A39" s="246"/>
      <c r="B39" s="247"/>
      <c r="C39" s="247"/>
      <c r="D39" s="248"/>
      <c r="E39" s="249"/>
      <c r="F39" s="250"/>
      <c r="G39" s="251"/>
      <c r="H39" s="260"/>
      <c r="I39" s="253"/>
      <c r="J39" s="254"/>
      <c r="K39" s="572" t="str">
        <f t="shared" si="26"/>
        <v/>
      </c>
      <c r="L39" s="418"/>
      <c r="M39" s="236" t="str">
        <f>IF((ISBLANK(A39)),"",'Fee calc_closed Transactions'!F39)</f>
        <v/>
      </c>
      <c r="N39" s="237" t="str">
        <f>IF(K39="","",'Fee calc_closed Transactions'!G39)</f>
        <v/>
      </c>
      <c r="O39" s="238"/>
      <c r="P39" s="239" t="str">
        <f t="shared" si="25"/>
        <v>0</v>
      </c>
      <c r="Q39" s="240">
        <f t="shared" si="27"/>
        <v>0</v>
      </c>
      <c r="R39" s="256">
        <f t="shared" si="28"/>
        <v>0</v>
      </c>
      <c r="S39" s="257" t="str">
        <f t="shared" si="29"/>
        <v>0</v>
      </c>
      <c r="T39" s="256" t="str">
        <f t="shared" si="30"/>
        <v>0</v>
      </c>
      <c r="U39" s="257" t="str">
        <f t="shared" si="31"/>
        <v>0</v>
      </c>
      <c r="V39" s="256" t="str">
        <f t="shared" si="32"/>
        <v>0</v>
      </c>
      <c r="W39" s="257" t="str">
        <f t="shared" si="33"/>
        <v>0</v>
      </c>
      <c r="X39" s="256" t="str">
        <f t="shared" si="34"/>
        <v>0</v>
      </c>
      <c r="Y39" s="257" t="str">
        <f t="shared" si="35"/>
        <v>0</v>
      </c>
      <c r="Z39" s="256" t="str">
        <f t="shared" si="36"/>
        <v>0</v>
      </c>
      <c r="AA39" s="257" t="str">
        <f t="shared" si="37"/>
        <v>0</v>
      </c>
      <c r="AB39" s="256" t="str">
        <f t="shared" si="38"/>
        <v>0</v>
      </c>
      <c r="AC39" s="257" t="str">
        <f t="shared" si="39"/>
        <v>0</v>
      </c>
      <c r="AD39" s="256" t="str">
        <f t="shared" si="40"/>
        <v>0</v>
      </c>
      <c r="AE39" s="257" t="str">
        <f t="shared" si="41"/>
        <v>0</v>
      </c>
      <c r="AF39" s="256" t="str">
        <f t="shared" si="42"/>
        <v>0</v>
      </c>
      <c r="AG39" s="257" t="str">
        <f t="shared" si="43"/>
        <v>0</v>
      </c>
      <c r="AH39" s="256" t="str">
        <f t="shared" si="44"/>
        <v>0</v>
      </c>
      <c r="AI39" s="257" t="str">
        <f t="shared" si="45"/>
        <v>0</v>
      </c>
      <c r="AJ39" s="256" t="str">
        <f t="shared" si="46"/>
        <v>0</v>
      </c>
      <c r="AK39" s="257" t="str">
        <f t="shared" si="47"/>
        <v>0</v>
      </c>
      <c r="AL39" s="258" t="str">
        <f t="shared" si="48"/>
        <v>0</v>
      </c>
      <c r="AM39" s="257" t="str">
        <f t="shared" si="49"/>
        <v>0</v>
      </c>
      <c r="AN39" s="255" t="str">
        <f t="shared" si="50"/>
        <v>0</v>
      </c>
    </row>
    <row r="40" spans="1:40" x14ac:dyDescent="0.2">
      <c r="A40" s="246"/>
      <c r="B40" s="247"/>
      <c r="C40" s="247"/>
      <c r="D40" s="247"/>
      <c r="E40" s="249"/>
      <c r="F40" s="250"/>
      <c r="G40" s="251"/>
      <c r="H40" s="260"/>
      <c r="I40" s="253"/>
      <c r="J40" s="254"/>
      <c r="K40" s="572" t="str">
        <f t="shared" si="26"/>
        <v/>
      </c>
      <c r="L40" s="418"/>
      <c r="M40" s="236" t="str">
        <f>IF((ISBLANK(A40)),"",'Fee calc_closed Transactions'!F40)</f>
        <v/>
      </c>
      <c r="N40" s="237" t="str">
        <f>IF(K40="","",'Fee calc_closed Transactions'!G40)</f>
        <v/>
      </c>
      <c r="O40" s="238"/>
      <c r="P40" s="239" t="str">
        <f t="shared" si="25"/>
        <v>0</v>
      </c>
      <c r="Q40" s="240">
        <f t="shared" si="27"/>
        <v>0</v>
      </c>
      <c r="R40" s="256">
        <f t="shared" si="28"/>
        <v>0</v>
      </c>
      <c r="S40" s="257" t="str">
        <f t="shared" si="29"/>
        <v>0</v>
      </c>
      <c r="T40" s="256" t="str">
        <f t="shared" si="30"/>
        <v>0</v>
      </c>
      <c r="U40" s="257" t="str">
        <f t="shared" si="31"/>
        <v>0</v>
      </c>
      <c r="V40" s="256" t="str">
        <f t="shared" si="32"/>
        <v>0</v>
      </c>
      <c r="W40" s="257" t="str">
        <f t="shared" si="33"/>
        <v>0</v>
      </c>
      <c r="X40" s="256" t="str">
        <f t="shared" si="34"/>
        <v>0</v>
      </c>
      <c r="Y40" s="257" t="str">
        <f t="shared" si="35"/>
        <v>0</v>
      </c>
      <c r="Z40" s="256" t="str">
        <f t="shared" si="36"/>
        <v>0</v>
      </c>
      <c r="AA40" s="257" t="str">
        <f t="shared" si="37"/>
        <v>0</v>
      </c>
      <c r="AB40" s="256" t="str">
        <f t="shared" si="38"/>
        <v>0</v>
      </c>
      <c r="AC40" s="257" t="str">
        <f t="shared" si="39"/>
        <v>0</v>
      </c>
      <c r="AD40" s="256" t="str">
        <f t="shared" si="40"/>
        <v>0</v>
      </c>
      <c r="AE40" s="257" t="str">
        <f t="shared" si="41"/>
        <v>0</v>
      </c>
      <c r="AF40" s="256" t="str">
        <f t="shared" si="42"/>
        <v>0</v>
      </c>
      <c r="AG40" s="257" t="str">
        <f t="shared" si="43"/>
        <v>0</v>
      </c>
      <c r="AH40" s="256" t="str">
        <f t="shared" si="44"/>
        <v>0</v>
      </c>
      <c r="AI40" s="257" t="str">
        <f t="shared" si="45"/>
        <v>0</v>
      </c>
      <c r="AJ40" s="256" t="str">
        <f t="shared" si="46"/>
        <v>0</v>
      </c>
      <c r="AK40" s="257" t="str">
        <f t="shared" si="47"/>
        <v>0</v>
      </c>
      <c r="AL40" s="258" t="str">
        <f t="shared" si="48"/>
        <v>0</v>
      </c>
      <c r="AM40" s="257" t="str">
        <f t="shared" si="49"/>
        <v>0</v>
      </c>
      <c r="AN40" s="255" t="str">
        <f t="shared" si="50"/>
        <v>0</v>
      </c>
    </row>
    <row r="41" spans="1:40" x14ac:dyDescent="0.2">
      <c r="A41" s="246"/>
      <c r="B41" s="247"/>
      <c r="C41" s="247"/>
      <c r="D41" s="247"/>
      <c r="E41" s="249"/>
      <c r="F41" s="250"/>
      <c r="G41" s="251"/>
      <c r="H41" s="260"/>
      <c r="I41" s="253"/>
      <c r="J41" s="254"/>
      <c r="K41" s="572" t="str">
        <f t="shared" si="26"/>
        <v/>
      </c>
      <c r="L41" s="418"/>
      <c r="M41" s="236" t="str">
        <f>IF((ISBLANK(A41)),"",'Fee calc_closed Transactions'!F41)</f>
        <v/>
      </c>
      <c r="N41" s="237" t="str">
        <f>IF(K41="","",'Fee calc_closed Transactions'!G41)</f>
        <v/>
      </c>
      <c r="O41" s="238"/>
      <c r="P41" s="239" t="str">
        <f t="shared" si="25"/>
        <v>0</v>
      </c>
      <c r="Q41" s="240">
        <f t="shared" si="27"/>
        <v>0</v>
      </c>
      <c r="R41" s="256">
        <f t="shared" si="28"/>
        <v>0</v>
      </c>
      <c r="S41" s="257" t="str">
        <f t="shared" si="29"/>
        <v>0</v>
      </c>
      <c r="T41" s="256" t="str">
        <f t="shared" si="30"/>
        <v>0</v>
      </c>
      <c r="U41" s="257" t="str">
        <f t="shared" si="31"/>
        <v>0</v>
      </c>
      <c r="V41" s="256" t="str">
        <f t="shared" si="32"/>
        <v>0</v>
      </c>
      <c r="W41" s="257" t="str">
        <f t="shared" si="33"/>
        <v>0</v>
      </c>
      <c r="X41" s="256" t="str">
        <f t="shared" si="34"/>
        <v>0</v>
      </c>
      <c r="Y41" s="257" t="str">
        <f t="shared" si="35"/>
        <v>0</v>
      </c>
      <c r="Z41" s="256" t="str">
        <f t="shared" si="36"/>
        <v>0</v>
      </c>
      <c r="AA41" s="257" t="str">
        <f t="shared" si="37"/>
        <v>0</v>
      </c>
      <c r="AB41" s="256" t="str">
        <f t="shared" si="38"/>
        <v>0</v>
      </c>
      <c r="AC41" s="257" t="str">
        <f t="shared" si="39"/>
        <v>0</v>
      </c>
      <c r="AD41" s="256" t="str">
        <f t="shared" si="40"/>
        <v>0</v>
      </c>
      <c r="AE41" s="257" t="str">
        <f t="shared" si="41"/>
        <v>0</v>
      </c>
      <c r="AF41" s="256" t="str">
        <f t="shared" si="42"/>
        <v>0</v>
      </c>
      <c r="AG41" s="257" t="str">
        <f t="shared" si="43"/>
        <v>0</v>
      </c>
      <c r="AH41" s="256" t="str">
        <f t="shared" si="44"/>
        <v>0</v>
      </c>
      <c r="AI41" s="257" t="str">
        <f t="shared" si="45"/>
        <v>0</v>
      </c>
      <c r="AJ41" s="256" t="str">
        <f t="shared" si="46"/>
        <v>0</v>
      </c>
      <c r="AK41" s="257" t="str">
        <f t="shared" si="47"/>
        <v>0</v>
      </c>
      <c r="AL41" s="258" t="str">
        <f t="shared" si="48"/>
        <v>0</v>
      </c>
      <c r="AM41" s="257" t="str">
        <f t="shared" si="49"/>
        <v>0</v>
      </c>
      <c r="AN41" s="255" t="str">
        <f t="shared" si="50"/>
        <v>0</v>
      </c>
    </row>
    <row r="42" spans="1:40" x14ac:dyDescent="0.2">
      <c r="A42" s="246"/>
      <c r="B42" s="247"/>
      <c r="C42" s="247"/>
      <c r="D42" s="247"/>
      <c r="E42" s="249"/>
      <c r="F42" s="250"/>
      <c r="G42" s="251"/>
      <c r="H42" s="260"/>
      <c r="I42" s="253"/>
      <c r="J42" s="254"/>
      <c r="K42" s="572" t="str">
        <f t="shared" si="26"/>
        <v/>
      </c>
      <c r="L42" s="418"/>
      <c r="M42" s="236" t="str">
        <f>IF((ISBLANK(A42)),"",'Fee calc_closed Transactions'!F42)</f>
        <v/>
      </c>
      <c r="N42" s="237" t="str">
        <f>IF(K42="","",'Fee calc_closed Transactions'!G42)</f>
        <v/>
      </c>
      <c r="O42" s="238"/>
      <c r="P42" s="239" t="str">
        <f t="shared" si="25"/>
        <v>0</v>
      </c>
      <c r="Q42" s="240">
        <f t="shared" si="27"/>
        <v>0</v>
      </c>
      <c r="R42" s="256">
        <f t="shared" si="28"/>
        <v>0</v>
      </c>
      <c r="S42" s="257" t="str">
        <f t="shared" si="29"/>
        <v>0</v>
      </c>
      <c r="T42" s="256" t="str">
        <f t="shared" si="30"/>
        <v>0</v>
      </c>
      <c r="U42" s="257" t="str">
        <f t="shared" si="31"/>
        <v>0</v>
      </c>
      <c r="V42" s="256" t="str">
        <f t="shared" si="32"/>
        <v>0</v>
      </c>
      <c r="W42" s="257" t="str">
        <f t="shared" si="33"/>
        <v>0</v>
      </c>
      <c r="X42" s="256" t="str">
        <f t="shared" si="34"/>
        <v>0</v>
      </c>
      <c r="Y42" s="257" t="str">
        <f t="shared" si="35"/>
        <v>0</v>
      </c>
      <c r="Z42" s="256" t="str">
        <f t="shared" si="36"/>
        <v>0</v>
      </c>
      <c r="AA42" s="257" t="str">
        <f t="shared" si="37"/>
        <v>0</v>
      </c>
      <c r="AB42" s="256" t="str">
        <f t="shared" si="38"/>
        <v>0</v>
      </c>
      <c r="AC42" s="257" t="str">
        <f t="shared" si="39"/>
        <v>0</v>
      </c>
      <c r="AD42" s="256" t="str">
        <f t="shared" si="40"/>
        <v>0</v>
      </c>
      <c r="AE42" s="257" t="str">
        <f t="shared" si="41"/>
        <v>0</v>
      </c>
      <c r="AF42" s="256" t="str">
        <f t="shared" si="42"/>
        <v>0</v>
      </c>
      <c r="AG42" s="257" t="str">
        <f t="shared" si="43"/>
        <v>0</v>
      </c>
      <c r="AH42" s="256" t="str">
        <f t="shared" si="44"/>
        <v>0</v>
      </c>
      <c r="AI42" s="257" t="str">
        <f t="shared" si="45"/>
        <v>0</v>
      </c>
      <c r="AJ42" s="256" t="str">
        <f t="shared" si="46"/>
        <v>0</v>
      </c>
      <c r="AK42" s="257" t="str">
        <f t="shared" si="47"/>
        <v>0</v>
      </c>
      <c r="AL42" s="258" t="str">
        <f t="shared" si="48"/>
        <v>0</v>
      </c>
      <c r="AM42" s="257" t="str">
        <f t="shared" si="49"/>
        <v>0</v>
      </c>
      <c r="AN42" s="255" t="str">
        <f t="shared" si="50"/>
        <v>0</v>
      </c>
    </row>
    <row r="43" spans="1:40" x14ac:dyDescent="0.2">
      <c r="A43" s="246"/>
      <c r="B43" s="247"/>
      <c r="C43" s="247"/>
      <c r="D43" s="247"/>
      <c r="E43" s="249"/>
      <c r="F43" s="250"/>
      <c r="G43" s="251"/>
      <c r="H43" s="260"/>
      <c r="I43" s="253"/>
      <c r="J43" s="254"/>
      <c r="K43" s="572" t="str">
        <f t="shared" si="26"/>
        <v/>
      </c>
      <c r="L43" s="418"/>
      <c r="M43" s="236" t="str">
        <f>IF((ISBLANK(A43)),"",'Fee calc_closed Transactions'!F43)</f>
        <v/>
      </c>
      <c r="N43" s="237" t="str">
        <f>IF(K43="","",'Fee calc_closed Transactions'!G43)</f>
        <v/>
      </c>
      <c r="O43" s="238"/>
      <c r="P43" s="239" t="str">
        <f t="shared" si="25"/>
        <v>0</v>
      </c>
      <c r="Q43" s="240">
        <f t="shared" si="27"/>
        <v>0</v>
      </c>
      <c r="R43" s="256">
        <f t="shared" si="28"/>
        <v>0</v>
      </c>
      <c r="S43" s="257" t="str">
        <f t="shared" si="29"/>
        <v>0</v>
      </c>
      <c r="T43" s="256" t="str">
        <f t="shared" si="30"/>
        <v>0</v>
      </c>
      <c r="U43" s="257" t="str">
        <f t="shared" si="31"/>
        <v>0</v>
      </c>
      <c r="V43" s="256" t="str">
        <f t="shared" si="32"/>
        <v>0</v>
      </c>
      <c r="W43" s="257" t="str">
        <f t="shared" si="33"/>
        <v>0</v>
      </c>
      <c r="X43" s="256" t="str">
        <f t="shared" si="34"/>
        <v>0</v>
      </c>
      <c r="Y43" s="257" t="str">
        <f t="shared" si="35"/>
        <v>0</v>
      </c>
      <c r="Z43" s="256" t="str">
        <f t="shared" si="36"/>
        <v>0</v>
      </c>
      <c r="AA43" s="257" t="str">
        <f t="shared" si="37"/>
        <v>0</v>
      </c>
      <c r="AB43" s="256" t="str">
        <f t="shared" si="38"/>
        <v>0</v>
      </c>
      <c r="AC43" s="257" t="str">
        <f t="shared" si="39"/>
        <v>0</v>
      </c>
      <c r="AD43" s="256" t="str">
        <f t="shared" si="40"/>
        <v>0</v>
      </c>
      <c r="AE43" s="257" t="str">
        <f t="shared" si="41"/>
        <v>0</v>
      </c>
      <c r="AF43" s="256" t="str">
        <f t="shared" si="42"/>
        <v>0</v>
      </c>
      <c r="AG43" s="257" t="str">
        <f t="shared" si="43"/>
        <v>0</v>
      </c>
      <c r="AH43" s="256" t="str">
        <f t="shared" si="44"/>
        <v>0</v>
      </c>
      <c r="AI43" s="257" t="str">
        <f t="shared" si="45"/>
        <v>0</v>
      </c>
      <c r="AJ43" s="256" t="str">
        <f t="shared" si="46"/>
        <v>0</v>
      </c>
      <c r="AK43" s="257" t="str">
        <f t="shared" si="47"/>
        <v>0</v>
      </c>
      <c r="AL43" s="258" t="str">
        <f t="shared" si="48"/>
        <v>0</v>
      </c>
      <c r="AM43" s="257" t="str">
        <f t="shared" si="49"/>
        <v>0</v>
      </c>
      <c r="AN43" s="255" t="str">
        <f t="shared" si="50"/>
        <v>0</v>
      </c>
    </row>
    <row r="44" spans="1:40" x14ac:dyDescent="0.2">
      <c r="A44" s="246"/>
      <c r="B44" s="247"/>
      <c r="C44" s="247"/>
      <c r="D44" s="247"/>
      <c r="E44" s="249"/>
      <c r="F44" s="250"/>
      <c r="G44" s="251"/>
      <c r="H44" s="260"/>
      <c r="I44" s="253"/>
      <c r="J44" s="254"/>
      <c r="K44" s="572" t="str">
        <f t="shared" si="26"/>
        <v/>
      </c>
      <c r="L44" s="418"/>
      <c r="M44" s="236" t="str">
        <f>IF((ISBLANK(A44)),"",'Fee calc_closed Transactions'!F44)</f>
        <v/>
      </c>
      <c r="N44" s="237" t="str">
        <f>IF(K44="","",'Fee calc_closed Transactions'!G44)</f>
        <v/>
      </c>
      <c r="O44" s="238"/>
      <c r="P44" s="239" t="str">
        <f t="shared" si="25"/>
        <v>0</v>
      </c>
      <c r="Q44" s="240">
        <f t="shared" si="27"/>
        <v>0</v>
      </c>
      <c r="R44" s="256">
        <f t="shared" si="28"/>
        <v>0</v>
      </c>
      <c r="S44" s="257" t="str">
        <f t="shared" si="29"/>
        <v>0</v>
      </c>
      <c r="T44" s="256" t="str">
        <f t="shared" si="30"/>
        <v>0</v>
      </c>
      <c r="U44" s="257" t="str">
        <f t="shared" si="31"/>
        <v>0</v>
      </c>
      <c r="V44" s="256" t="str">
        <f t="shared" si="32"/>
        <v>0</v>
      </c>
      <c r="W44" s="257" t="str">
        <f t="shared" si="33"/>
        <v>0</v>
      </c>
      <c r="X44" s="256" t="str">
        <f t="shared" si="34"/>
        <v>0</v>
      </c>
      <c r="Y44" s="257" t="str">
        <f t="shared" si="35"/>
        <v>0</v>
      </c>
      <c r="Z44" s="256" t="str">
        <f t="shared" si="36"/>
        <v>0</v>
      </c>
      <c r="AA44" s="257" t="str">
        <f t="shared" si="37"/>
        <v>0</v>
      </c>
      <c r="AB44" s="256" t="str">
        <f t="shared" si="38"/>
        <v>0</v>
      </c>
      <c r="AC44" s="257" t="str">
        <f t="shared" si="39"/>
        <v>0</v>
      </c>
      <c r="AD44" s="256" t="str">
        <f t="shared" si="40"/>
        <v>0</v>
      </c>
      <c r="AE44" s="257" t="str">
        <f t="shared" si="41"/>
        <v>0</v>
      </c>
      <c r="AF44" s="256" t="str">
        <f t="shared" si="42"/>
        <v>0</v>
      </c>
      <c r="AG44" s="257" t="str">
        <f t="shared" si="43"/>
        <v>0</v>
      </c>
      <c r="AH44" s="256" t="str">
        <f t="shared" si="44"/>
        <v>0</v>
      </c>
      <c r="AI44" s="257" t="str">
        <f t="shared" si="45"/>
        <v>0</v>
      </c>
      <c r="AJ44" s="256" t="str">
        <f t="shared" si="46"/>
        <v>0</v>
      </c>
      <c r="AK44" s="257" t="str">
        <f t="shared" si="47"/>
        <v>0</v>
      </c>
      <c r="AL44" s="258" t="str">
        <f t="shared" si="48"/>
        <v>0</v>
      </c>
      <c r="AM44" s="257" t="str">
        <f t="shared" si="49"/>
        <v>0</v>
      </c>
      <c r="AN44" s="255" t="str">
        <f t="shared" si="50"/>
        <v>0</v>
      </c>
    </row>
    <row r="45" spans="1:40" x14ac:dyDescent="0.2">
      <c r="A45" s="246"/>
      <c r="B45" s="247"/>
      <c r="C45" s="247"/>
      <c r="D45" s="247"/>
      <c r="E45" s="249"/>
      <c r="F45" s="250"/>
      <c r="G45" s="251"/>
      <c r="H45" s="260"/>
      <c r="I45" s="253"/>
      <c r="J45" s="254"/>
      <c r="K45" s="572" t="str">
        <f t="shared" si="26"/>
        <v/>
      </c>
      <c r="L45" s="418"/>
      <c r="M45" s="236" t="str">
        <f>IF((ISBLANK(A45)),"",'Fee calc_closed Transactions'!F45)</f>
        <v/>
      </c>
      <c r="N45" s="237" t="str">
        <f>IF(K45="","",'Fee calc_closed Transactions'!G45)</f>
        <v/>
      </c>
      <c r="O45" s="238"/>
      <c r="P45" s="239" t="str">
        <f t="shared" si="25"/>
        <v>0</v>
      </c>
      <c r="Q45" s="240">
        <f t="shared" si="27"/>
        <v>0</v>
      </c>
      <c r="R45" s="256">
        <f t="shared" si="28"/>
        <v>0</v>
      </c>
      <c r="S45" s="257" t="str">
        <f t="shared" si="29"/>
        <v>0</v>
      </c>
      <c r="T45" s="256" t="str">
        <f t="shared" si="30"/>
        <v>0</v>
      </c>
      <c r="U45" s="257" t="str">
        <f t="shared" si="31"/>
        <v>0</v>
      </c>
      <c r="V45" s="256" t="str">
        <f t="shared" si="32"/>
        <v>0</v>
      </c>
      <c r="W45" s="257" t="str">
        <f t="shared" si="33"/>
        <v>0</v>
      </c>
      <c r="X45" s="256" t="str">
        <f t="shared" si="34"/>
        <v>0</v>
      </c>
      <c r="Y45" s="257" t="str">
        <f t="shared" si="35"/>
        <v>0</v>
      </c>
      <c r="Z45" s="256" t="str">
        <f t="shared" si="36"/>
        <v>0</v>
      </c>
      <c r="AA45" s="257" t="str">
        <f t="shared" si="37"/>
        <v>0</v>
      </c>
      <c r="AB45" s="256" t="str">
        <f t="shared" si="38"/>
        <v>0</v>
      </c>
      <c r="AC45" s="257" t="str">
        <f t="shared" si="39"/>
        <v>0</v>
      </c>
      <c r="AD45" s="256" t="str">
        <f t="shared" si="40"/>
        <v>0</v>
      </c>
      <c r="AE45" s="257" t="str">
        <f t="shared" si="41"/>
        <v>0</v>
      </c>
      <c r="AF45" s="256" t="str">
        <f t="shared" si="42"/>
        <v>0</v>
      </c>
      <c r="AG45" s="257" t="str">
        <f t="shared" si="43"/>
        <v>0</v>
      </c>
      <c r="AH45" s="256" t="str">
        <f t="shared" si="44"/>
        <v>0</v>
      </c>
      <c r="AI45" s="257" t="str">
        <f t="shared" si="45"/>
        <v>0</v>
      </c>
      <c r="AJ45" s="256" t="str">
        <f t="shared" si="46"/>
        <v>0</v>
      </c>
      <c r="AK45" s="257" t="str">
        <f t="shared" si="47"/>
        <v>0</v>
      </c>
      <c r="AL45" s="258" t="str">
        <f t="shared" si="48"/>
        <v>0</v>
      </c>
      <c r="AM45" s="257" t="str">
        <f t="shared" si="49"/>
        <v>0</v>
      </c>
      <c r="AN45" s="255" t="str">
        <f t="shared" si="50"/>
        <v>0</v>
      </c>
    </row>
    <row r="46" spans="1:40" x14ac:dyDescent="0.2">
      <c r="A46" s="246"/>
      <c r="B46" s="247"/>
      <c r="C46" s="247"/>
      <c r="D46" s="247"/>
      <c r="E46" s="249"/>
      <c r="F46" s="250"/>
      <c r="G46" s="251"/>
      <c r="H46" s="260"/>
      <c r="I46" s="253"/>
      <c r="J46" s="254"/>
      <c r="K46" s="572" t="str">
        <f t="shared" si="26"/>
        <v/>
      </c>
      <c r="L46" s="418"/>
      <c r="M46" s="236" t="str">
        <f>IF((ISBLANK(A46)),"",'Fee calc_closed Transactions'!F46)</f>
        <v/>
      </c>
      <c r="N46" s="237" t="str">
        <f>IF(K46="","",'Fee calc_closed Transactions'!G46)</f>
        <v/>
      </c>
      <c r="O46" s="238"/>
      <c r="P46" s="239" t="str">
        <f t="shared" si="25"/>
        <v>0</v>
      </c>
      <c r="Q46" s="240">
        <f t="shared" si="27"/>
        <v>0</v>
      </c>
      <c r="R46" s="256">
        <f t="shared" si="28"/>
        <v>0</v>
      </c>
      <c r="S46" s="257" t="str">
        <f t="shared" si="29"/>
        <v>0</v>
      </c>
      <c r="T46" s="256" t="str">
        <f t="shared" si="30"/>
        <v>0</v>
      </c>
      <c r="U46" s="257" t="str">
        <f t="shared" si="31"/>
        <v>0</v>
      </c>
      <c r="V46" s="256" t="str">
        <f t="shared" si="32"/>
        <v>0</v>
      </c>
      <c r="W46" s="257" t="str">
        <f t="shared" si="33"/>
        <v>0</v>
      </c>
      <c r="X46" s="256" t="str">
        <f t="shared" si="34"/>
        <v>0</v>
      </c>
      <c r="Y46" s="257" t="str">
        <f t="shared" si="35"/>
        <v>0</v>
      </c>
      <c r="Z46" s="256" t="str">
        <f t="shared" si="36"/>
        <v>0</v>
      </c>
      <c r="AA46" s="257" t="str">
        <f t="shared" si="37"/>
        <v>0</v>
      </c>
      <c r="AB46" s="256" t="str">
        <f t="shared" si="38"/>
        <v>0</v>
      </c>
      <c r="AC46" s="257" t="str">
        <f t="shared" si="39"/>
        <v>0</v>
      </c>
      <c r="AD46" s="256" t="str">
        <f t="shared" si="40"/>
        <v>0</v>
      </c>
      <c r="AE46" s="257" t="str">
        <f t="shared" si="41"/>
        <v>0</v>
      </c>
      <c r="AF46" s="256" t="str">
        <f t="shared" si="42"/>
        <v>0</v>
      </c>
      <c r="AG46" s="257" t="str">
        <f t="shared" si="43"/>
        <v>0</v>
      </c>
      <c r="AH46" s="256" t="str">
        <f t="shared" si="44"/>
        <v>0</v>
      </c>
      <c r="AI46" s="257" t="str">
        <f t="shared" si="45"/>
        <v>0</v>
      </c>
      <c r="AJ46" s="256" t="str">
        <f t="shared" si="46"/>
        <v>0</v>
      </c>
      <c r="AK46" s="257" t="str">
        <f t="shared" si="47"/>
        <v>0</v>
      </c>
      <c r="AL46" s="258" t="str">
        <f t="shared" si="48"/>
        <v>0</v>
      </c>
      <c r="AM46" s="257" t="str">
        <f t="shared" si="49"/>
        <v>0</v>
      </c>
      <c r="AN46" s="255" t="str">
        <f t="shared" si="50"/>
        <v>0</v>
      </c>
    </row>
    <row r="47" spans="1:40" x14ac:dyDescent="0.2">
      <c r="A47" s="246"/>
      <c r="B47" s="247"/>
      <c r="C47" s="247"/>
      <c r="D47" s="247"/>
      <c r="E47" s="249"/>
      <c r="F47" s="250"/>
      <c r="G47" s="251"/>
      <c r="H47" s="260"/>
      <c r="I47" s="253"/>
      <c r="J47" s="254"/>
      <c r="K47" s="572" t="str">
        <f t="shared" si="26"/>
        <v/>
      </c>
      <c r="L47" s="418"/>
      <c r="M47" s="236" t="str">
        <f>IF((ISBLANK(A47)),"",'Fee calc_closed Transactions'!F47)</f>
        <v/>
      </c>
      <c r="N47" s="237" t="str">
        <f>IF(K47="","",'Fee calc_closed Transactions'!G47)</f>
        <v/>
      </c>
      <c r="O47" s="238"/>
      <c r="P47" s="239" t="str">
        <f t="shared" si="25"/>
        <v>0</v>
      </c>
      <c r="Q47" s="240">
        <f t="shared" si="27"/>
        <v>0</v>
      </c>
      <c r="R47" s="256">
        <f t="shared" si="28"/>
        <v>0</v>
      </c>
      <c r="S47" s="257" t="str">
        <f t="shared" si="29"/>
        <v>0</v>
      </c>
      <c r="T47" s="256" t="str">
        <f t="shared" si="30"/>
        <v>0</v>
      </c>
      <c r="U47" s="257" t="str">
        <f t="shared" si="31"/>
        <v>0</v>
      </c>
      <c r="V47" s="256" t="str">
        <f t="shared" si="32"/>
        <v>0</v>
      </c>
      <c r="W47" s="257" t="str">
        <f t="shared" si="33"/>
        <v>0</v>
      </c>
      <c r="X47" s="256" t="str">
        <f t="shared" si="34"/>
        <v>0</v>
      </c>
      <c r="Y47" s="257" t="str">
        <f t="shared" si="35"/>
        <v>0</v>
      </c>
      <c r="Z47" s="256" t="str">
        <f t="shared" si="36"/>
        <v>0</v>
      </c>
      <c r="AA47" s="257" t="str">
        <f t="shared" si="37"/>
        <v>0</v>
      </c>
      <c r="AB47" s="256" t="str">
        <f t="shared" si="38"/>
        <v>0</v>
      </c>
      <c r="AC47" s="257" t="str">
        <f t="shared" si="39"/>
        <v>0</v>
      </c>
      <c r="AD47" s="256" t="str">
        <f t="shared" si="40"/>
        <v>0</v>
      </c>
      <c r="AE47" s="257" t="str">
        <f t="shared" si="41"/>
        <v>0</v>
      </c>
      <c r="AF47" s="256" t="str">
        <f t="shared" si="42"/>
        <v>0</v>
      </c>
      <c r="AG47" s="257" t="str">
        <f t="shared" si="43"/>
        <v>0</v>
      </c>
      <c r="AH47" s="256" t="str">
        <f t="shared" si="44"/>
        <v>0</v>
      </c>
      <c r="AI47" s="257" t="str">
        <f t="shared" si="45"/>
        <v>0</v>
      </c>
      <c r="AJ47" s="256" t="str">
        <f t="shared" si="46"/>
        <v>0</v>
      </c>
      <c r="AK47" s="257" t="str">
        <f t="shared" si="47"/>
        <v>0</v>
      </c>
      <c r="AL47" s="258" t="str">
        <f t="shared" si="48"/>
        <v>0</v>
      </c>
      <c r="AM47" s="257" t="str">
        <f t="shared" si="49"/>
        <v>0</v>
      </c>
      <c r="AN47" s="255" t="str">
        <f t="shared" si="50"/>
        <v>0</v>
      </c>
    </row>
    <row r="48" spans="1:40" x14ac:dyDescent="0.2">
      <c r="A48" s="246"/>
      <c r="B48" s="247"/>
      <c r="C48" s="247"/>
      <c r="D48" s="247"/>
      <c r="E48" s="249"/>
      <c r="F48" s="250"/>
      <c r="G48" s="251"/>
      <c r="H48" s="260"/>
      <c r="I48" s="253"/>
      <c r="J48" s="254"/>
      <c r="K48" s="572" t="str">
        <f t="shared" si="26"/>
        <v/>
      </c>
      <c r="L48" s="418"/>
      <c r="M48" s="236" t="str">
        <f>IF((ISBLANK(A48)),"",'Fee calc_closed Transactions'!F48)</f>
        <v/>
      </c>
      <c r="N48" s="237" t="str">
        <f>IF(K48="","",'Fee calc_closed Transactions'!G48)</f>
        <v/>
      </c>
      <c r="O48" s="238"/>
      <c r="P48" s="239" t="str">
        <f t="shared" si="25"/>
        <v>0</v>
      </c>
      <c r="Q48" s="240">
        <f t="shared" si="27"/>
        <v>0</v>
      </c>
      <c r="R48" s="256">
        <f t="shared" si="28"/>
        <v>0</v>
      </c>
      <c r="S48" s="257" t="str">
        <f t="shared" si="29"/>
        <v>0</v>
      </c>
      <c r="T48" s="256" t="str">
        <f t="shared" si="30"/>
        <v>0</v>
      </c>
      <c r="U48" s="257" t="str">
        <f t="shared" si="31"/>
        <v>0</v>
      </c>
      <c r="V48" s="256" t="str">
        <f t="shared" si="32"/>
        <v>0</v>
      </c>
      <c r="W48" s="257" t="str">
        <f t="shared" si="33"/>
        <v>0</v>
      </c>
      <c r="X48" s="256" t="str">
        <f t="shared" si="34"/>
        <v>0</v>
      </c>
      <c r="Y48" s="257" t="str">
        <f t="shared" si="35"/>
        <v>0</v>
      </c>
      <c r="Z48" s="256" t="str">
        <f t="shared" si="36"/>
        <v>0</v>
      </c>
      <c r="AA48" s="257" t="str">
        <f t="shared" si="37"/>
        <v>0</v>
      </c>
      <c r="AB48" s="256" t="str">
        <f t="shared" si="38"/>
        <v>0</v>
      </c>
      <c r="AC48" s="257" t="str">
        <f t="shared" si="39"/>
        <v>0</v>
      </c>
      <c r="AD48" s="256" t="str">
        <f t="shared" si="40"/>
        <v>0</v>
      </c>
      <c r="AE48" s="257" t="str">
        <f t="shared" si="41"/>
        <v>0</v>
      </c>
      <c r="AF48" s="256" t="str">
        <f t="shared" si="42"/>
        <v>0</v>
      </c>
      <c r="AG48" s="257" t="str">
        <f t="shared" si="43"/>
        <v>0</v>
      </c>
      <c r="AH48" s="256" t="str">
        <f t="shared" si="44"/>
        <v>0</v>
      </c>
      <c r="AI48" s="257" t="str">
        <f t="shared" si="45"/>
        <v>0</v>
      </c>
      <c r="AJ48" s="256" t="str">
        <f t="shared" si="46"/>
        <v>0</v>
      </c>
      <c r="AK48" s="257" t="str">
        <f t="shared" si="47"/>
        <v>0</v>
      </c>
      <c r="AL48" s="258" t="str">
        <f t="shared" si="48"/>
        <v>0</v>
      </c>
      <c r="AM48" s="257" t="str">
        <f t="shared" si="49"/>
        <v>0</v>
      </c>
      <c r="AN48" s="255" t="str">
        <f t="shared" si="50"/>
        <v>0</v>
      </c>
    </row>
    <row r="49" spans="1:40" x14ac:dyDescent="0.2">
      <c r="A49" s="246"/>
      <c r="B49" s="247"/>
      <c r="C49" s="247"/>
      <c r="D49" s="247"/>
      <c r="E49" s="249"/>
      <c r="F49" s="250"/>
      <c r="G49" s="251"/>
      <c r="H49" s="260"/>
      <c r="I49" s="253"/>
      <c r="J49" s="254"/>
      <c r="K49" s="572" t="str">
        <f t="shared" si="26"/>
        <v/>
      </c>
      <c r="L49" s="418"/>
      <c r="M49" s="236" t="str">
        <f>IF((ISBLANK(A49)),"",'Fee calc_closed Transactions'!F49)</f>
        <v/>
      </c>
      <c r="N49" s="237" t="str">
        <f>IF(K49="","",'Fee calc_closed Transactions'!G49)</f>
        <v/>
      </c>
      <c r="O49" s="238"/>
      <c r="P49" s="239" t="str">
        <f t="shared" si="25"/>
        <v>0</v>
      </c>
      <c r="Q49" s="240">
        <f t="shared" si="27"/>
        <v>0</v>
      </c>
      <c r="R49" s="256">
        <f t="shared" si="28"/>
        <v>0</v>
      </c>
      <c r="S49" s="257" t="str">
        <f t="shared" si="29"/>
        <v>0</v>
      </c>
      <c r="T49" s="256" t="str">
        <f t="shared" si="30"/>
        <v>0</v>
      </c>
      <c r="U49" s="257" t="str">
        <f t="shared" si="31"/>
        <v>0</v>
      </c>
      <c r="V49" s="256" t="str">
        <f t="shared" si="32"/>
        <v>0</v>
      </c>
      <c r="W49" s="257" t="str">
        <f t="shared" si="33"/>
        <v>0</v>
      </c>
      <c r="X49" s="256" t="str">
        <f t="shared" si="34"/>
        <v>0</v>
      </c>
      <c r="Y49" s="257" t="str">
        <f t="shared" si="35"/>
        <v>0</v>
      </c>
      <c r="Z49" s="256" t="str">
        <f t="shared" si="36"/>
        <v>0</v>
      </c>
      <c r="AA49" s="257" t="str">
        <f t="shared" si="37"/>
        <v>0</v>
      </c>
      <c r="AB49" s="256" t="str">
        <f t="shared" si="38"/>
        <v>0</v>
      </c>
      <c r="AC49" s="257" t="str">
        <f t="shared" si="39"/>
        <v>0</v>
      </c>
      <c r="AD49" s="256" t="str">
        <f t="shared" si="40"/>
        <v>0</v>
      </c>
      <c r="AE49" s="257" t="str">
        <f t="shared" si="41"/>
        <v>0</v>
      </c>
      <c r="AF49" s="256" t="str">
        <f t="shared" si="42"/>
        <v>0</v>
      </c>
      <c r="AG49" s="257" t="str">
        <f t="shared" si="43"/>
        <v>0</v>
      </c>
      <c r="AH49" s="256" t="str">
        <f t="shared" si="44"/>
        <v>0</v>
      </c>
      <c r="AI49" s="257" t="str">
        <f t="shared" si="45"/>
        <v>0</v>
      </c>
      <c r="AJ49" s="256" t="str">
        <f t="shared" si="46"/>
        <v>0</v>
      </c>
      <c r="AK49" s="257" t="str">
        <f t="shared" si="47"/>
        <v>0</v>
      </c>
      <c r="AL49" s="258" t="str">
        <f t="shared" si="48"/>
        <v>0</v>
      </c>
      <c r="AM49" s="257" t="str">
        <f t="shared" si="49"/>
        <v>0</v>
      </c>
      <c r="AN49" s="255" t="str">
        <f t="shared" si="50"/>
        <v>0</v>
      </c>
    </row>
    <row r="50" spans="1:40" x14ac:dyDescent="0.2">
      <c r="A50" s="246"/>
      <c r="B50" s="247"/>
      <c r="C50" s="247"/>
      <c r="D50" s="247"/>
      <c r="E50" s="249"/>
      <c r="F50" s="250"/>
      <c r="G50" s="251"/>
      <c r="H50" s="260"/>
      <c r="I50" s="253"/>
      <c r="J50" s="254"/>
      <c r="K50" s="572" t="str">
        <f t="shared" si="26"/>
        <v/>
      </c>
      <c r="L50" s="418"/>
      <c r="M50" s="236" t="str">
        <f>IF((ISBLANK(A50)),"",'Fee calc_closed Transactions'!F50)</f>
        <v/>
      </c>
      <c r="N50" s="237" t="str">
        <f>IF(K50="","",'Fee calc_closed Transactions'!G50)</f>
        <v/>
      </c>
      <c r="O50" s="238"/>
      <c r="P50" s="239" t="str">
        <f t="shared" si="25"/>
        <v>0</v>
      </c>
      <c r="Q50" s="240">
        <f t="shared" si="27"/>
        <v>0</v>
      </c>
      <c r="R50" s="256">
        <f t="shared" si="28"/>
        <v>0</v>
      </c>
      <c r="S50" s="257" t="str">
        <f t="shared" si="29"/>
        <v>0</v>
      </c>
      <c r="T50" s="256" t="str">
        <f t="shared" si="30"/>
        <v>0</v>
      </c>
      <c r="U50" s="257" t="str">
        <f t="shared" si="31"/>
        <v>0</v>
      </c>
      <c r="V50" s="256" t="str">
        <f t="shared" si="32"/>
        <v>0</v>
      </c>
      <c r="W50" s="257" t="str">
        <f t="shared" si="33"/>
        <v>0</v>
      </c>
      <c r="X50" s="256" t="str">
        <f t="shared" si="34"/>
        <v>0</v>
      </c>
      <c r="Y50" s="257" t="str">
        <f t="shared" si="35"/>
        <v>0</v>
      </c>
      <c r="Z50" s="256" t="str">
        <f t="shared" si="36"/>
        <v>0</v>
      </c>
      <c r="AA50" s="257" t="str">
        <f t="shared" si="37"/>
        <v>0</v>
      </c>
      <c r="AB50" s="256" t="str">
        <f t="shared" si="38"/>
        <v>0</v>
      </c>
      <c r="AC50" s="257" t="str">
        <f t="shared" si="39"/>
        <v>0</v>
      </c>
      <c r="AD50" s="256" t="str">
        <f t="shared" si="40"/>
        <v>0</v>
      </c>
      <c r="AE50" s="257" t="str">
        <f t="shared" si="41"/>
        <v>0</v>
      </c>
      <c r="AF50" s="256" t="str">
        <f t="shared" si="42"/>
        <v>0</v>
      </c>
      <c r="AG50" s="257" t="str">
        <f t="shared" si="43"/>
        <v>0</v>
      </c>
      <c r="AH50" s="256" t="str">
        <f t="shared" si="44"/>
        <v>0</v>
      </c>
      <c r="AI50" s="257" t="str">
        <f t="shared" si="45"/>
        <v>0</v>
      </c>
      <c r="AJ50" s="256" t="str">
        <f t="shared" si="46"/>
        <v>0</v>
      </c>
      <c r="AK50" s="257" t="str">
        <f t="shared" si="47"/>
        <v>0</v>
      </c>
      <c r="AL50" s="258" t="str">
        <f t="shared" si="48"/>
        <v>0</v>
      </c>
      <c r="AM50" s="257" t="str">
        <f t="shared" si="49"/>
        <v>0</v>
      </c>
      <c r="AN50" s="255" t="str">
        <f t="shared" si="50"/>
        <v>0</v>
      </c>
    </row>
    <row r="51" spans="1:40" x14ac:dyDescent="0.2">
      <c r="A51" s="246"/>
      <c r="B51" s="247"/>
      <c r="C51" s="247"/>
      <c r="D51" s="247"/>
      <c r="E51" s="249"/>
      <c r="F51" s="250"/>
      <c r="G51" s="251"/>
      <c r="H51" s="260"/>
      <c r="I51" s="253"/>
      <c r="J51" s="254"/>
      <c r="K51" s="572" t="str">
        <f t="shared" si="26"/>
        <v/>
      </c>
      <c r="L51" s="418"/>
      <c r="M51" s="236" t="str">
        <f>IF((ISBLANK(A51)),"",'Fee calc_closed Transactions'!F51)</f>
        <v/>
      </c>
      <c r="N51" s="237" t="str">
        <f>IF(K51="","",'Fee calc_closed Transactions'!G51)</f>
        <v/>
      </c>
      <c r="O51" s="238"/>
      <c r="P51" s="239" t="str">
        <f t="shared" si="25"/>
        <v>0</v>
      </c>
      <c r="Q51" s="240">
        <f t="shared" si="27"/>
        <v>0</v>
      </c>
      <c r="R51" s="256">
        <f t="shared" si="28"/>
        <v>0</v>
      </c>
      <c r="S51" s="257" t="str">
        <f t="shared" si="29"/>
        <v>0</v>
      </c>
      <c r="T51" s="256" t="str">
        <f t="shared" si="30"/>
        <v>0</v>
      </c>
      <c r="U51" s="257" t="str">
        <f t="shared" si="31"/>
        <v>0</v>
      </c>
      <c r="V51" s="256" t="str">
        <f t="shared" si="32"/>
        <v>0</v>
      </c>
      <c r="W51" s="257" t="str">
        <f t="shared" si="33"/>
        <v>0</v>
      </c>
      <c r="X51" s="256" t="str">
        <f t="shared" si="34"/>
        <v>0</v>
      </c>
      <c r="Y51" s="257" t="str">
        <f t="shared" si="35"/>
        <v>0</v>
      </c>
      <c r="Z51" s="256" t="str">
        <f t="shared" si="36"/>
        <v>0</v>
      </c>
      <c r="AA51" s="257" t="str">
        <f t="shared" si="37"/>
        <v>0</v>
      </c>
      <c r="AB51" s="256" t="str">
        <f t="shared" si="38"/>
        <v>0</v>
      </c>
      <c r="AC51" s="257" t="str">
        <f t="shared" si="39"/>
        <v>0</v>
      </c>
      <c r="AD51" s="256" t="str">
        <f t="shared" si="40"/>
        <v>0</v>
      </c>
      <c r="AE51" s="257" t="str">
        <f t="shared" si="41"/>
        <v>0</v>
      </c>
      <c r="AF51" s="256" t="str">
        <f t="shared" si="42"/>
        <v>0</v>
      </c>
      <c r="AG51" s="257" t="str">
        <f t="shared" si="43"/>
        <v>0</v>
      </c>
      <c r="AH51" s="256" t="str">
        <f t="shared" si="44"/>
        <v>0</v>
      </c>
      <c r="AI51" s="257" t="str">
        <f t="shared" si="45"/>
        <v>0</v>
      </c>
      <c r="AJ51" s="256" t="str">
        <f t="shared" si="46"/>
        <v>0</v>
      </c>
      <c r="AK51" s="257" t="str">
        <f t="shared" si="47"/>
        <v>0</v>
      </c>
      <c r="AL51" s="258" t="str">
        <f t="shared" si="48"/>
        <v>0</v>
      </c>
      <c r="AM51" s="257" t="str">
        <f t="shared" si="49"/>
        <v>0</v>
      </c>
      <c r="AN51" s="255" t="str">
        <f t="shared" si="50"/>
        <v>0</v>
      </c>
    </row>
    <row r="52" spans="1:40" x14ac:dyDescent="0.2">
      <c r="A52" s="246"/>
      <c r="B52" s="247"/>
      <c r="C52" s="247"/>
      <c r="D52" s="247"/>
      <c r="E52" s="249"/>
      <c r="F52" s="250"/>
      <c r="G52" s="251"/>
      <c r="H52" s="260"/>
      <c r="I52" s="253"/>
      <c r="J52" s="254"/>
      <c r="K52" s="572" t="str">
        <f t="shared" si="26"/>
        <v/>
      </c>
      <c r="L52" s="418"/>
      <c r="M52" s="236" t="str">
        <f>IF((ISBLANK(A52)),"",'Fee calc_closed Transactions'!F52)</f>
        <v/>
      </c>
      <c r="N52" s="237" t="str">
        <f>IF(K52="","",'Fee calc_closed Transactions'!G52)</f>
        <v/>
      </c>
      <c r="O52" s="238"/>
      <c r="P52" s="239" t="str">
        <f t="shared" si="25"/>
        <v>0</v>
      </c>
      <c r="Q52" s="240">
        <f t="shared" si="27"/>
        <v>0</v>
      </c>
      <c r="R52" s="256">
        <f t="shared" si="28"/>
        <v>0</v>
      </c>
      <c r="S52" s="257" t="str">
        <f t="shared" si="29"/>
        <v>0</v>
      </c>
      <c r="T52" s="256" t="str">
        <f t="shared" si="30"/>
        <v>0</v>
      </c>
      <c r="U52" s="257" t="str">
        <f t="shared" si="31"/>
        <v>0</v>
      </c>
      <c r="V52" s="256" t="str">
        <f t="shared" si="32"/>
        <v>0</v>
      </c>
      <c r="W52" s="257" t="str">
        <f t="shared" si="33"/>
        <v>0</v>
      </c>
      <c r="X52" s="256" t="str">
        <f t="shared" si="34"/>
        <v>0</v>
      </c>
      <c r="Y52" s="257" t="str">
        <f t="shared" si="35"/>
        <v>0</v>
      </c>
      <c r="Z52" s="256" t="str">
        <f t="shared" si="36"/>
        <v>0</v>
      </c>
      <c r="AA52" s="257" t="str">
        <f t="shared" si="37"/>
        <v>0</v>
      </c>
      <c r="AB52" s="256" t="str">
        <f t="shared" si="38"/>
        <v>0</v>
      </c>
      <c r="AC52" s="257" t="str">
        <f t="shared" si="39"/>
        <v>0</v>
      </c>
      <c r="AD52" s="256" t="str">
        <f t="shared" si="40"/>
        <v>0</v>
      </c>
      <c r="AE52" s="257" t="str">
        <f t="shared" si="41"/>
        <v>0</v>
      </c>
      <c r="AF52" s="256" t="str">
        <f t="shared" si="42"/>
        <v>0</v>
      </c>
      <c r="AG52" s="257" t="str">
        <f t="shared" si="43"/>
        <v>0</v>
      </c>
      <c r="AH52" s="256" t="str">
        <f t="shared" si="44"/>
        <v>0</v>
      </c>
      <c r="AI52" s="257" t="str">
        <f t="shared" si="45"/>
        <v>0</v>
      </c>
      <c r="AJ52" s="256" t="str">
        <f t="shared" si="46"/>
        <v>0</v>
      </c>
      <c r="AK52" s="257" t="str">
        <f t="shared" si="47"/>
        <v>0</v>
      </c>
      <c r="AL52" s="258" t="str">
        <f t="shared" si="48"/>
        <v>0</v>
      </c>
      <c r="AM52" s="257" t="str">
        <f t="shared" si="49"/>
        <v>0</v>
      </c>
      <c r="AN52" s="255" t="str">
        <f t="shared" si="50"/>
        <v>0</v>
      </c>
    </row>
    <row r="53" spans="1:40" x14ac:dyDescent="0.2">
      <c r="A53" s="246"/>
      <c r="B53" s="247"/>
      <c r="C53" s="247"/>
      <c r="D53" s="247"/>
      <c r="E53" s="249"/>
      <c r="F53" s="250"/>
      <c r="G53" s="251"/>
      <c r="H53" s="260"/>
      <c r="I53" s="253"/>
      <c r="J53" s="254"/>
      <c r="K53" s="572" t="str">
        <f t="shared" si="26"/>
        <v/>
      </c>
      <c r="L53" s="418"/>
      <c r="M53" s="236" t="str">
        <f>IF((ISBLANK(A53)),"",'Fee calc_closed Transactions'!F53)</f>
        <v/>
      </c>
      <c r="N53" s="237" t="str">
        <f>IF(K53="","",'Fee calc_closed Transactions'!G53)</f>
        <v/>
      </c>
      <c r="O53" s="238"/>
      <c r="P53" s="239" t="str">
        <f t="shared" si="25"/>
        <v>0</v>
      </c>
      <c r="Q53" s="240">
        <f t="shared" si="27"/>
        <v>0</v>
      </c>
      <c r="R53" s="256">
        <f t="shared" si="28"/>
        <v>0</v>
      </c>
      <c r="S53" s="257" t="str">
        <f t="shared" si="29"/>
        <v>0</v>
      </c>
      <c r="T53" s="256" t="str">
        <f t="shared" si="30"/>
        <v>0</v>
      </c>
      <c r="U53" s="257" t="str">
        <f t="shared" si="31"/>
        <v>0</v>
      </c>
      <c r="V53" s="256" t="str">
        <f t="shared" si="32"/>
        <v>0</v>
      </c>
      <c r="W53" s="257" t="str">
        <f t="shared" si="33"/>
        <v>0</v>
      </c>
      <c r="X53" s="256" t="str">
        <f t="shared" si="34"/>
        <v>0</v>
      </c>
      <c r="Y53" s="257" t="str">
        <f t="shared" si="35"/>
        <v>0</v>
      </c>
      <c r="Z53" s="256" t="str">
        <f t="shared" si="36"/>
        <v>0</v>
      </c>
      <c r="AA53" s="257" t="str">
        <f t="shared" si="37"/>
        <v>0</v>
      </c>
      <c r="AB53" s="256" t="str">
        <f t="shared" si="38"/>
        <v>0</v>
      </c>
      <c r="AC53" s="257" t="str">
        <f t="shared" si="39"/>
        <v>0</v>
      </c>
      <c r="AD53" s="256" t="str">
        <f t="shared" si="40"/>
        <v>0</v>
      </c>
      <c r="AE53" s="257" t="str">
        <f t="shared" si="41"/>
        <v>0</v>
      </c>
      <c r="AF53" s="256" t="str">
        <f t="shared" si="42"/>
        <v>0</v>
      </c>
      <c r="AG53" s="257" t="str">
        <f t="shared" si="43"/>
        <v>0</v>
      </c>
      <c r="AH53" s="256" t="str">
        <f t="shared" si="44"/>
        <v>0</v>
      </c>
      <c r="AI53" s="257" t="str">
        <f t="shared" si="45"/>
        <v>0</v>
      </c>
      <c r="AJ53" s="256" t="str">
        <f t="shared" si="46"/>
        <v>0</v>
      </c>
      <c r="AK53" s="257" t="str">
        <f t="shared" si="47"/>
        <v>0</v>
      </c>
      <c r="AL53" s="258" t="str">
        <f t="shared" si="48"/>
        <v>0</v>
      </c>
      <c r="AM53" s="257" t="str">
        <f t="shared" si="49"/>
        <v>0</v>
      </c>
      <c r="AN53" s="255" t="str">
        <f t="shared" si="50"/>
        <v>0</v>
      </c>
    </row>
    <row r="54" spans="1:40" x14ac:dyDescent="0.2">
      <c r="A54" s="246"/>
      <c r="B54" s="247"/>
      <c r="C54" s="247"/>
      <c r="D54" s="247"/>
      <c r="E54" s="249"/>
      <c r="F54" s="250"/>
      <c r="G54" s="251"/>
      <c r="H54" s="260"/>
      <c r="I54" s="253"/>
      <c r="J54" s="254"/>
      <c r="K54" s="572" t="str">
        <f t="shared" si="26"/>
        <v/>
      </c>
      <c r="L54" s="418"/>
      <c r="M54" s="236" t="str">
        <f>IF((ISBLANK(A54)),"",'Fee calc_closed Transactions'!F54)</f>
        <v/>
      </c>
      <c r="N54" s="237" t="str">
        <f>IF(K54="","",'Fee calc_closed Transactions'!G54)</f>
        <v/>
      </c>
      <c r="O54" s="238"/>
      <c r="P54" s="239" t="str">
        <f t="shared" si="25"/>
        <v>0</v>
      </c>
      <c r="Q54" s="240">
        <f t="shared" si="27"/>
        <v>0</v>
      </c>
      <c r="R54" s="256">
        <f t="shared" si="28"/>
        <v>0</v>
      </c>
      <c r="S54" s="257" t="str">
        <f t="shared" si="29"/>
        <v>0</v>
      </c>
      <c r="T54" s="256" t="str">
        <f t="shared" si="30"/>
        <v>0</v>
      </c>
      <c r="U54" s="257" t="str">
        <f t="shared" si="31"/>
        <v>0</v>
      </c>
      <c r="V54" s="256" t="str">
        <f t="shared" si="32"/>
        <v>0</v>
      </c>
      <c r="W54" s="257" t="str">
        <f t="shared" si="33"/>
        <v>0</v>
      </c>
      <c r="X54" s="256" t="str">
        <f t="shared" si="34"/>
        <v>0</v>
      </c>
      <c r="Y54" s="257" t="str">
        <f t="shared" si="35"/>
        <v>0</v>
      </c>
      <c r="Z54" s="256" t="str">
        <f t="shared" si="36"/>
        <v>0</v>
      </c>
      <c r="AA54" s="257" t="str">
        <f t="shared" si="37"/>
        <v>0</v>
      </c>
      <c r="AB54" s="256" t="str">
        <f t="shared" si="38"/>
        <v>0</v>
      </c>
      <c r="AC54" s="257" t="str">
        <f t="shared" si="39"/>
        <v>0</v>
      </c>
      <c r="AD54" s="256" t="str">
        <f t="shared" si="40"/>
        <v>0</v>
      </c>
      <c r="AE54" s="257" t="str">
        <f t="shared" si="41"/>
        <v>0</v>
      </c>
      <c r="AF54" s="256" t="str">
        <f t="shared" si="42"/>
        <v>0</v>
      </c>
      <c r="AG54" s="257" t="str">
        <f t="shared" si="43"/>
        <v>0</v>
      </c>
      <c r="AH54" s="256" t="str">
        <f t="shared" si="44"/>
        <v>0</v>
      </c>
      <c r="AI54" s="257" t="str">
        <f t="shared" si="45"/>
        <v>0</v>
      </c>
      <c r="AJ54" s="256" t="str">
        <f t="shared" si="46"/>
        <v>0</v>
      </c>
      <c r="AK54" s="257" t="str">
        <f t="shared" si="47"/>
        <v>0</v>
      </c>
      <c r="AL54" s="258" t="str">
        <f t="shared" si="48"/>
        <v>0</v>
      </c>
      <c r="AM54" s="257" t="str">
        <f t="shared" si="49"/>
        <v>0</v>
      </c>
      <c r="AN54" s="255" t="str">
        <f t="shared" si="50"/>
        <v>0</v>
      </c>
    </row>
    <row r="55" spans="1:40" x14ac:dyDescent="0.2">
      <c r="A55" s="246"/>
      <c r="B55" s="247"/>
      <c r="C55" s="247"/>
      <c r="D55" s="247"/>
      <c r="E55" s="249"/>
      <c r="F55" s="250"/>
      <c r="G55" s="251"/>
      <c r="H55" s="260"/>
      <c r="I55" s="253"/>
      <c r="J55" s="254"/>
      <c r="K55" s="572" t="str">
        <f t="shared" si="26"/>
        <v/>
      </c>
      <c r="L55" s="418"/>
      <c r="M55" s="236" t="str">
        <f>IF((ISBLANK(A55)),"",'Fee calc_closed Transactions'!F55)</f>
        <v/>
      </c>
      <c r="N55" s="237" t="str">
        <f>IF(K55="","",'Fee calc_closed Transactions'!G55)</f>
        <v/>
      </c>
      <c r="O55" s="238"/>
      <c r="P55" s="239" t="str">
        <f t="shared" si="25"/>
        <v>0</v>
      </c>
      <c r="Q55" s="240">
        <f t="shared" si="27"/>
        <v>0</v>
      </c>
      <c r="R55" s="256">
        <f t="shared" si="28"/>
        <v>0</v>
      </c>
      <c r="S55" s="257" t="str">
        <f t="shared" si="29"/>
        <v>0</v>
      </c>
      <c r="T55" s="256" t="str">
        <f t="shared" si="30"/>
        <v>0</v>
      </c>
      <c r="U55" s="257" t="str">
        <f t="shared" si="31"/>
        <v>0</v>
      </c>
      <c r="V55" s="256" t="str">
        <f t="shared" si="32"/>
        <v>0</v>
      </c>
      <c r="W55" s="257" t="str">
        <f t="shared" si="33"/>
        <v>0</v>
      </c>
      <c r="X55" s="256" t="str">
        <f t="shared" si="34"/>
        <v>0</v>
      </c>
      <c r="Y55" s="257" t="str">
        <f t="shared" si="35"/>
        <v>0</v>
      </c>
      <c r="Z55" s="256" t="str">
        <f t="shared" si="36"/>
        <v>0</v>
      </c>
      <c r="AA55" s="257" t="str">
        <f t="shared" si="37"/>
        <v>0</v>
      </c>
      <c r="AB55" s="256" t="str">
        <f t="shared" si="38"/>
        <v>0</v>
      </c>
      <c r="AC55" s="257" t="str">
        <f t="shared" si="39"/>
        <v>0</v>
      </c>
      <c r="AD55" s="256" t="str">
        <f t="shared" si="40"/>
        <v>0</v>
      </c>
      <c r="AE55" s="257" t="str">
        <f t="shared" si="41"/>
        <v>0</v>
      </c>
      <c r="AF55" s="256" t="str">
        <f t="shared" si="42"/>
        <v>0</v>
      </c>
      <c r="AG55" s="257" t="str">
        <f t="shared" si="43"/>
        <v>0</v>
      </c>
      <c r="AH55" s="256" t="str">
        <f t="shared" si="44"/>
        <v>0</v>
      </c>
      <c r="AI55" s="257" t="str">
        <f t="shared" si="45"/>
        <v>0</v>
      </c>
      <c r="AJ55" s="256" t="str">
        <f t="shared" si="46"/>
        <v>0</v>
      </c>
      <c r="AK55" s="257" t="str">
        <f t="shared" si="47"/>
        <v>0</v>
      </c>
      <c r="AL55" s="258" t="str">
        <f t="shared" si="48"/>
        <v>0</v>
      </c>
      <c r="AM55" s="257" t="str">
        <f t="shared" si="49"/>
        <v>0</v>
      </c>
      <c r="AN55" s="255" t="str">
        <f t="shared" si="50"/>
        <v>0</v>
      </c>
    </row>
    <row r="56" spans="1:40" x14ac:dyDescent="0.2">
      <c r="A56" s="246"/>
      <c r="B56" s="247"/>
      <c r="C56" s="247"/>
      <c r="D56" s="247"/>
      <c r="E56" s="249"/>
      <c r="F56" s="250"/>
      <c r="G56" s="251"/>
      <c r="H56" s="260"/>
      <c r="I56" s="253"/>
      <c r="J56" s="254"/>
      <c r="K56" s="572" t="str">
        <f t="shared" si="26"/>
        <v/>
      </c>
      <c r="L56" s="418"/>
      <c r="M56" s="236" t="str">
        <f>IF((ISBLANK(A56)),"",'Fee calc_closed Transactions'!F56)</f>
        <v/>
      </c>
      <c r="N56" s="237" t="str">
        <f>IF(K56="","",'Fee calc_closed Transactions'!G56)</f>
        <v/>
      </c>
      <c r="O56" s="238"/>
      <c r="P56" s="239" t="str">
        <f t="shared" si="25"/>
        <v>0</v>
      </c>
      <c r="Q56" s="240">
        <f t="shared" si="27"/>
        <v>0</v>
      </c>
      <c r="R56" s="256">
        <f t="shared" si="28"/>
        <v>0</v>
      </c>
      <c r="S56" s="257" t="str">
        <f t="shared" si="29"/>
        <v>0</v>
      </c>
      <c r="T56" s="256" t="str">
        <f t="shared" si="30"/>
        <v>0</v>
      </c>
      <c r="U56" s="257" t="str">
        <f t="shared" si="31"/>
        <v>0</v>
      </c>
      <c r="V56" s="256" t="str">
        <f t="shared" si="32"/>
        <v>0</v>
      </c>
      <c r="W56" s="257" t="str">
        <f t="shared" si="33"/>
        <v>0</v>
      </c>
      <c r="X56" s="256" t="str">
        <f t="shared" si="34"/>
        <v>0</v>
      </c>
      <c r="Y56" s="257" t="str">
        <f t="shared" si="35"/>
        <v>0</v>
      </c>
      <c r="Z56" s="256" t="str">
        <f t="shared" si="36"/>
        <v>0</v>
      </c>
      <c r="AA56" s="257" t="str">
        <f t="shared" si="37"/>
        <v>0</v>
      </c>
      <c r="AB56" s="256" t="str">
        <f t="shared" si="38"/>
        <v>0</v>
      </c>
      <c r="AC56" s="257" t="str">
        <f t="shared" si="39"/>
        <v>0</v>
      </c>
      <c r="AD56" s="256" t="str">
        <f t="shared" si="40"/>
        <v>0</v>
      </c>
      <c r="AE56" s="257" t="str">
        <f t="shared" si="41"/>
        <v>0</v>
      </c>
      <c r="AF56" s="256" t="str">
        <f t="shared" si="42"/>
        <v>0</v>
      </c>
      <c r="AG56" s="257" t="str">
        <f t="shared" si="43"/>
        <v>0</v>
      </c>
      <c r="AH56" s="256" t="str">
        <f t="shared" si="44"/>
        <v>0</v>
      </c>
      <c r="AI56" s="257" t="str">
        <f t="shared" si="45"/>
        <v>0</v>
      </c>
      <c r="AJ56" s="256" t="str">
        <f t="shared" si="46"/>
        <v>0</v>
      </c>
      <c r="AK56" s="257" t="str">
        <f t="shared" si="47"/>
        <v>0</v>
      </c>
      <c r="AL56" s="258" t="str">
        <f t="shared" si="48"/>
        <v>0</v>
      </c>
      <c r="AM56" s="257" t="str">
        <f t="shared" si="49"/>
        <v>0</v>
      </c>
      <c r="AN56" s="255" t="str">
        <f t="shared" si="50"/>
        <v>0</v>
      </c>
    </row>
    <row r="57" spans="1:40" x14ac:dyDescent="0.2">
      <c r="A57" s="246"/>
      <c r="B57" s="247"/>
      <c r="C57" s="247"/>
      <c r="D57" s="247"/>
      <c r="E57" s="249"/>
      <c r="F57" s="250"/>
      <c r="G57" s="251"/>
      <c r="H57" s="260"/>
      <c r="I57" s="253"/>
      <c r="J57" s="254"/>
      <c r="K57" s="572" t="str">
        <f t="shared" si="26"/>
        <v/>
      </c>
      <c r="L57" s="418"/>
      <c r="M57" s="236" t="str">
        <f>IF((ISBLANK(A57)),"",'Fee calc_closed Transactions'!F57)</f>
        <v/>
      </c>
      <c r="N57" s="237" t="str">
        <f>IF(K57="","",'Fee calc_closed Transactions'!G57)</f>
        <v/>
      </c>
      <c r="O57" s="238"/>
      <c r="P57" s="239" t="str">
        <f t="shared" si="25"/>
        <v>0</v>
      </c>
      <c r="Q57" s="240">
        <f t="shared" si="27"/>
        <v>0</v>
      </c>
      <c r="R57" s="256">
        <f t="shared" si="28"/>
        <v>0</v>
      </c>
      <c r="S57" s="257" t="str">
        <f t="shared" si="29"/>
        <v>0</v>
      </c>
      <c r="T57" s="256" t="str">
        <f t="shared" si="30"/>
        <v>0</v>
      </c>
      <c r="U57" s="257" t="str">
        <f t="shared" si="31"/>
        <v>0</v>
      </c>
      <c r="V57" s="256" t="str">
        <f t="shared" si="32"/>
        <v>0</v>
      </c>
      <c r="W57" s="257" t="str">
        <f t="shared" si="33"/>
        <v>0</v>
      </c>
      <c r="X57" s="256" t="str">
        <f t="shared" si="34"/>
        <v>0</v>
      </c>
      <c r="Y57" s="257" t="str">
        <f t="shared" si="35"/>
        <v>0</v>
      </c>
      <c r="Z57" s="256" t="str">
        <f t="shared" si="36"/>
        <v>0</v>
      </c>
      <c r="AA57" s="257" t="str">
        <f t="shared" si="37"/>
        <v>0</v>
      </c>
      <c r="AB57" s="256" t="str">
        <f t="shared" si="38"/>
        <v>0</v>
      </c>
      <c r="AC57" s="257" t="str">
        <f t="shared" si="39"/>
        <v>0</v>
      </c>
      <c r="AD57" s="256" t="str">
        <f t="shared" si="40"/>
        <v>0</v>
      </c>
      <c r="AE57" s="257" t="str">
        <f t="shared" si="41"/>
        <v>0</v>
      </c>
      <c r="AF57" s="256" t="str">
        <f t="shared" si="42"/>
        <v>0</v>
      </c>
      <c r="AG57" s="257" t="str">
        <f t="shared" si="43"/>
        <v>0</v>
      </c>
      <c r="AH57" s="256" t="str">
        <f t="shared" si="44"/>
        <v>0</v>
      </c>
      <c r="AI57" s="257" t="str">
        <f t="shared" si="45"/>
        <v>0</v>
      </c>
      <c r="AJ57" s="256" t="str">
        <f t="shared" si="46"/>
        <v>0</v>
      </c>
      <c r="AK57" s="257" t="str">
        <f t="shared" si="47"/>
        <v>0</v>
      </c>
      <c r="AL57" s="258" t="str">
        <f t="shared" si="48"/>
        <v>0</v>
      </c>
      <c r="AM57" s="257" t="str">
        <f t="shared" si="49"/>
        <v>0</v>
      </c>
      <c r="AN57" s="255" t="str">
        <f t="shared" si="50"/>
        <v>0</v>
      </c>
    </row>
    <row r="58" spans="1:40" x14ac:dyDescent="0.2">
      <c r="A58" s="246"/>
      <c r="B58" s="247"/>
      <c r="C58" s="247"/>
      <c r="D58" s="247"/>
      <c r="E58" s="249"/>
      <c r="F58" s="250"/>
      <c r="G58" s="251"/>
      <c r="H58" s="260"/>
      <c r="I58" s="253"/>
      <c r="J58" s="254"/>
      <c r="K58" s="572" t="str">
        <f t="shared" si="26"/>
        <v/>
      </c>
      <c r="L58" s="418"/>
      <c r="M58" s="236" t="str">
        <f>IF((ISBLANK(A58)),"",'Fee calc_closed Transactions'!F58)</f>
        <v/>
      </c>
      <c r="N58" s="237" t="str">
        <f>IF(K58="","",'Fee calc_closed Transactions'!G58)</f>
        <v/>
      </c>
      <c r="O58" s="238"/>
      <c r="P58" s="239" t="str">
        <f t="shared" si="25"/>
        <v>0</v>
      </c>
      <c r="Q58" s="240">
        <f t="shared" si="27"/>
        <v>0</v>
      </c>
      <c r="R58" s="256">
        <f t="shared" si="28"/>
        <v>0</v>
      </c>
      <c r="S58" s="257" t="str">
        <f t="shared" si="29"/>
        <v>0</v>
      </c>
      <c r="T58" s="256" t="str">
        <f t="shared" si="30"/>
        <v>0</v>
      </c>
      <c r="U58" s="257" t="str">
        <f t="shared" si="31"/>
        <v>0</v>
      </c>
      <c r="V58" s="256" t="str">
        <f t="shared" si="32"/>
        <v>0</v>
      </c>
      <c r="W58" s="257" t="str">
        <f t="shared" si="33"/>
        <v>0</v>
      </c>
      <c r="X58" s="256" t="str">
        <f t="shared" si="34"/>
        <v>0</v>
      </c>
      <c r="Y58" s="257" t="str">
        <f t="shared" si="35"/>
        <v>0</v>
      </c>
      <c r="Z58" s="256" t="str">
        <f t="shared" si="36"/>
        <v>0</v>
      </c>
      <c r="AA58" s="257" t="str">
        <f t="shared" si="37"/>
        <v>0</v>
      </c>
      <c r="AB58" s="256" t="str">
        <f t="shared" si="38"/>
        <v>0</v>
      </c>
      <c r="AC58" s="257" t="str">
        <f t="shared" si="39"/>
        <v>0</v>
      </c>
      <c r="AD58" s="256" t="str">
        <f t="shared" si="40"/>
        <v>0</v>
      </c>
      <c r="AE58" s="257" t="str">
        <f t="shared" si="41"/>
        <v>0</v>
      </c>
      <c r="AF58" s="256" t="str">
        <f t="shared" si="42"/>
        <v>0</v>
      </c>
      <c r="AG58" s="257" t="str">
        <f t="shared" si="43"/>
        <v>0</v>
      </c>
      <c r="AH58" s="256" t="str">
        <f t="shared" si="44"/>
        <v>0</v>
      </c>
      <c r="AI58" s="257" t="str">
        <f t="shared" si="45"/>
        <v>0</v>
      </c>
      <c r="AJ58" s="256" t="str">
        <f t="shared" si="46"/>
        <v>0</v>
      </c>
      <c r="AK58" s="257" t="str">
        <f t="shared" si="47"/>
        <v>0</v>
      </c>
      <c r="AL58" s="258" t="str">
        <f t="shared" si="48"/>
        <v>0</v>
      </c>
      <c r="AM58" s="257" t="str">
        <f t="shared" si="49"/>
        <v>0</v>
      </c>
      <c r="AN58" s="255" t="str">
        <f t="shared" si="50"/>
        <v>0</v>
      </c>
    </row>
    <row r="59" spans="1:40" x14ac:dyDescent="0.2">
      <c r="A59" s="246"/>
      <c r="B59" s="247"/>
      <c r="C59" s="247"/>
      <c r="D59" s="247"/>
      <c r="E59" s="249"/>
      <c r="F59" s="250"/>
      <c r="G59" s="251"/>
      <c r="H59" s="260"/>
      <c r="I59" s="253"/>
      <c r="J59" s="254"/>
      <c r="K59" s="572" t="str">
        <f t="shared" si="26"/>
        <v/>
      </c>
      <c r="L59" s="418"/>
      <c r="M59" s="236" t="str">
        <f>IF((ISBLANK(A59)),"",'Fee calc_closed Transactions'!F59)</f>
        <v/>
      </c>
      <c r="N59" s="237" t="str">
        <f>IF(K59="","",'Fee calc_closed Transactions'!G59)</f>
        <v/>
      </c>
      <c r="O59" s="238"/>
      <c r="P59" s="239" t="str">
        <f t="shared" si="25"/>
        <v>0</v>
      </c>
      <c r="Q59" s="240">
        <f t="shared" si="27"/>
        <v>0</v>
      </c>
      <c r="R59" s="256">
        <f t="shared" si="28"/>
        <v>0</v>
      </c>
      <c r="S59" s="257" t="str">
        <f t="shared" si="29"/>
        <v>0</v>
      </c>
      <c r="T59" s="256" t="str">
        <f t="shared" si="30"/>
        <v>0</v>
      </c>
      <c r="U59" s="257" t="str">
        <f t="shared" si="31"/>
        <v>0</v>
      </c>
      <c r="V59" s="256" t="str">
        <f t="shared" si="32"/>
        <v>0</v>
      </c>
      <c r="W59" s="257" t="str">
        <f t="shared" si="33"/>
        <v>0</v>
      </c>
      <c r="X59" s="256" t="str">
        <f t="shared" si="34"/>
        <v>0</v>
      </c>
      <c r="Y59" s="257" t="str">
        <f t="shared" si="35"/>
        <v>0</v>
      </c>
      <c r="Z59" s="256" t="str">
        <f t="shared" si="36"/>
        <v>0</v>
      </c>
      <c r="AA59" s="257" t="str">
        <f t="shared" si="37"/>
        <v>0</v>
      </c>
      <c r="AB59" s="256" t="str">
        <f t="shared" si="38"/>
        <v>0</v>
      </c>
      <c r="AC59" s="257" t="str">
        <f t="shared" si="39"/>
        <v>0</v>
      </c>
      <c r="AD59" s="256" t="str">
        <f t="shared" si="40"/>
        <v>0</v>
      </c>
      <c r="AE59" s="257" t="str">
        <f t="shared" si="41"/>
        <v>0</v>
      </c>
      <c r="AF59" s="256" t="str">
        <f t="shared" si="42"/>
        <v>0</v>
      </c>
      <c r="AG59" s="257" t="str">
        <f t="shared" si="43"/>
        <v>0</v>
      </c>
      <c r="AH59" s="256" t="str">
        <f t="shared" si="44"/>
        <v>0</v>
      </c>
      <c r="AI59" s="257" t="str">
        <f t="shared" si="45"/>
        <v>0</v>
      </c>
      <c r="AJ59" s="256" t="str">
        <f t="shared" si="46"/>
        <v>0</v>
      </c>
      <c r="AK59" s="257" t="str">
        <f t="shared" si="47"/>
        <v>0</v>
      </c>
      <c r="AL59" s="258" t="str">
        <f t="shared" si="48"/>
        <v>0</v>
      </c>
      <c r="AM59" s="257" t="str">
        <f t="shared" si="49"/>
        <v>0</v>
      </c>
      <c r="AN59" s="255" t="str">
        <f t="shared" si="50"/>
        <v>0</v>
      </c>
    </row>
    <row r="60" spans="1:40" x14ac:dyDescent="0.2">
      <c r="A60" s="246"/>
      <c r="B60" s="247"/>
      <c r="C60" s="247"/>
      <c r="D60" s="247"/>
      <c r="E60" s="249"/>
      <c r="F60" s="250"/>
      <c r="G60" s="251"/>
      <c r="H60" s="260"/>
      <c r="I60" s="253"/>
      <c r="J60" s="254"/>
      <c r="K60" s="572" t="str">
        <f t="shared" si="26"/>
        <v/>
      </c>
      <c r="L60" s="418"/>
      <c r="M60" s="236" t="str">
        <f>IF((ISBLANK(A60)),"",'Fee calc_closed Transactions'!F60)</f>
        <v/>
      </c>
      <c r="N60" s="237" t="str">
        <f>IF(K60="","",'Fee calc_closed Transactions'!G60)</f>
        <v/>
      </c>
      <c r="O60" s="238"/>
      <c r="P60" s="239" t="str">
        <f t="shared" si="25"/>
        <v>0</v>
      </c>
      <c r="Q60" s="240">
        <f t="shared" si="27"/>
        <v>0</v>
      </c>
      <c r="R60" s="256">
        <f t="shared" si="28"/>
        <v>0</v>
      </c>
      <c r="S60" s="257" t="str">
        <f t="shared" si="29"/>
        <v>0</v>
      </c>
      <c r="T60" s="256" t="str">
        <f t="shared" si="30"/>
        <v>0</v>
      </c>
      <c r="U60" s="257" t="str">
        <f t="shared" si="31"/>
        <v>0</v>
      </c>
      <c r="V60" s="256" t="str">
        <f t="shared" si="32"/>
        <v>0</v>
      </c>
      <c r="W60" s="257" t="str">
        <f t="shared" si="33"/>
        <v>0</v>
      </c>
      <c r="X60" s="256" t="str">
        <f t="shared" si="34"/>
        <v>0</v>
      </c>
      <c r="Y60" s="257" t="str">
        <f t="shared" si="35"/>
        <v>0</v>
      </c>
      <c r="Z60" s="256" t="str">
        <f t="shared" si="36"/>
        <v>0</v>
      </c>
      <c r="AA60" s="257" t="str">
        <f t="shared" si="37"/>
        <v>0</v>
      </c>
      <c r="AB60" s="256" t="str">
        <f t="shared" si="38"/>
        <v>0</v>
      </c>
      <c r="AC60" s="257" t="str">
        <f t="shared" si="39"/>
        <v>0</v>
      </c>
      <c r="AD60" s="256" t="str">
        <f t="shared" si="40"/>
        <v>0</v>
      </c>
      <c r="AE60" s="257" t="str">
        <f t="shared" si="41"/>
        <v>0</v>
      </c>
      <c r="AF60" s="256" t="str">
        <f t="shared" si="42"/>
        <v>0</v>
      </c>
      <c r="AG60" s="257" t="str">
        <f t="shared" si="43"/>
        <v>0</v>
      </c>
      <c r="AH60" s="256" t="str">
        <f t="shared" si="44"/>
        <v>0</v>
      </c>
      <c r="AI60" s="257" t="str">
        <f t="shared" si="45"/>
        <v>0</v>
      </c>
      <c r="AJ60" s="256" t="str">
        <f t="shared" si="46"/>
        <v>0</v>
      </c>
      <c r="AK60" s="257" t="str">
        <f t="shared" si="47"/>
        <v>0</v>
      </c>
      <c r="AL60" s="258" t="str">
        <f t="shared" si="48"/>
        <v>0</v>
      </c>
      <c r="AM60" s="257" t="str">
        <f t="shared" si="49"/>
        <v>0</v>
      </c>
      <c r="AN60" s="255" t="str">
        <f t="shared" si="50"/>
        <v>0</v>
      </c>
    </row>
    <row r="61" spans="1:40" x14ac:dyDescent="0.2">
      <c r="A61" s="246"/>
      <c r="B61" s="247"/>
      <c r="C61" s="247"/>
      <c r="D61" s="247"/>
      <c r="E61" s="249"/>
      <c r="F61" s="250"/>
      <c r="G61" s="251"/>
      <c r="H61" s="260"/>
      <c r="I61" s="253"/>
      <c r="J61" s="254"/>
      <c r="K61" s="572" t="str">
        <f t="shared" si="26"/>
        <v/>
      </c>
      <c r="L61" s="418"/>
      <c r="M61" s="236" t="str">
        <f>IF((ISBLANK(A61)),"",'Fee calc_closed Transactions'!F61)</f>
        <v/>
      </c>
      <c r="N61" s="237" t="str">
        <f>IF(K61="","",'Fee calc_closed Transactions'!G61)</f>
        <v/>
      </c>
      <c r="O61" s="238"/>
      <c r="P61" s="239" t="str">
        <f t="shared" si="25"/>
        <v>0</v>
      </c>
      <c r="Q61" s="240">
        <f t="shared" si="27"/>
        <v>0</v>
      </c>
      <c r="R61" s="256">
        <f t="shared" si="28"/>
        <v>0</v>
      </c>
      <c r="S61" s="257" t="str">
        <f t="shared" si="29"/>
        <v>0</v>
      </c>
      <c r="T61" s="256" t="str">
        <f t="shared" si="30"/>
        <v>0</v>
      </c>
      <c r="U61" s="257" t="str">
        <f t="shared" si="31"/>
        <v>0</v>
      </c>
      <c r="V61" s="256" t="str">
        <f t="shared" si="32"/>
        <v>0</v>
      </c>
      <c r="W61" s="257" t="str">
        <f t="shared" si="33"/>
        <v>0</v>
      </c>
      <c r="X61" s="256" t="str">
        <f t="shared" si="34"/>
        <v>0</v>
      </c>
      <c r="Y61" s="257" t="str">
        <f t="shared" si="35"/>
        <v>0</v>
      </c>
      <c r="Z61" s="256" t="str">
        <f t="shared" si="36"/>
        <v>0</v>
      </c>
      <c r="AA61" s="257" t="str">
        <f t="shared" si="37"/>
        <v>0</v>
      </c>
      <c r="AB61" s="256" t="str">
        <f t="shared" si="38"/>
        <v>0</v>
      </c>
      <c r="AC61" s="257" t="str">
        <f t="shared" si="39"/>
        <v>0</v>
      </c>
      <c r="AD61" s="256" t="str">
        <f t="shared" si="40"/>
        <v>0</v>
      </c>
      <c r="AE61" s="257" t="str">
        <f t="shared" si="41"/>
        <v>0</v>
      </c>
      <c r="AF61" s="256" t="str">
        <f t="shared" si="42"/>
        <v>0</v>
      </c>
      <c r="AG61" s="257" t="str">
        <f t="shared" si="43"/>
        <v>0</v>
      </c>
      <c r="AH61" s="256" t="str">
        <f t="shared" si="44"/>
        <v>0</v>
      </c>
      <c r="AI61" s="257" t="str">
        <f t="shared" si="45"/>
        <v>0</v>
      </c>
      <c r="AJ61" s="256" t="str">
        <f t="shared" si="46"/>
        <v>0</v>
      </c>
      <c r="AK61" s="257" t="str">
        <f t="shared" si="47"/>
        <v>0</v>
      </c>
      <c r="AL61" s="258" t="str">
        <f t="shared" si="48"/>
        <v>0</v>
      </c>
      <c r="AM61" s="257" t="str">
        <f t="shared" si="49"/>
        <v>0</v>
      </c>
      <c r="AN61" s="255" t="str">
        <f t="shared" si="50"/>
        <v>0</v>
      </c>
    </row>
    <row r="62" spans="1:40" x14ac:dyDescent="0.2">
      <c r="A62" s="246"/>
      <c r="B62" s="247"/>
      <c r="C62" s="247"/>
      <c r="D62" s="247"/>
      <c r="E62" s="249"/>
      <c r="F62" s="250"/>
      <c r="G62" s="251"/>
      <c r="H62" s="260"/>
      <c r="I62" s="253"/>
      <c r="J62" s="254"/>
      <c r="K62" s="572" t="str">
        <f t="shared" si="26"/>
        <v/>
      </c>
      <c r="L62" s="418"/>
      <c r="M62" s="236" t="str">
        <f>IF((ISBLANK(A62)),"",'Fee calc_closed Transactions'!F62)</f>
        <v/>
      </c>
      <c r="N62" s="237" t="str">
        <f>IF(K62="","",'Fee calc_closed Transactions'!G62)</f>
        <v/>
      </c>
      <c r="O62" s="238"/>
      <c r="P62" s="239" t="str">
        <f t="shared" si="25"/>
        <v>0</v>
      </c>
      <c r="Q62" s="240">
        <f t="shared" si="27"/>
        <v>0</v>
      </c>
      <c r="R62" s="256">
        <f t="shared" si="28"/>
        <v>0</v>
      </c>
      <c r="S62" s="257" t="str">
        <f t="shared" si="29"/>
        <v>0</v>
      </c>
      <c r="T62" s="256" t="str">
        <f t="shared" si="30"/>
        <v>0</v>
      </c>
      <c r="U62" s="257" t="str">
        <f t="shared" si="31"/>
        <v>0</v>
      </c>
      <c r="V62" s="256" t="str">
        <f t="shared" si="32"/>
        <v>0</v>
      </c>
      <c r="W62" s="257" t="str">
        <f t="shared" si="33"/>
        <v>0</v>
      </c>
      <c r="X62" s="256" t="str">
        <f t="shared" si="34"/>
        <v>0</v>
      </c>
      <c r="Y62" s="257" t="str">
        <f t="shared" si="35"/>
        <v>0</v>
      </c>
      <c r="Z62" s="256" t="str">
        <f t="shared" si="36"/>
        <v>0</v>
      </c>
      <c r="AA62" s="257" t="str">
        <f t="shared" si="37"/>
        <v>0</v>
      </c>
      <c r="AB62" s="256" t="str">
        <f t="shared" si="38"/>
        <v>0</v>
      </c>
      <c r="AC62" s="257" t="str">
        <f t="shared" si="39"/>
        <v>0</v>
      </c>
      <c r="AD62" s="256" t="str">
        <f t="shared" si="40"/>
        <v>0</v>
      </c>
      <c r="AE62" s="257" t="str">
        <f t="shared" si="41"/>
        <v>0</v>
      </c>
      <c r="AF62" s="256" t="str">
        <f t="shared" si="42"/>
        <v>0</v>
      </c>
      <c r="AG62" s="257" t="str">
        <f t="shared" si="43"/>
        <v>0</v>
      </c>
      <c r="AH62" s="256" t="str">
        <f t="shared" si="44"/>
        <v>0</v>
      </c>
      <c r="AI62" s="257" t="str">
        <f t="shared" si="45"/>
        <v>0</v>
      </c>
      <c r="AJ62" s="256" t="str">
        <f t="shared" si="46"/>
        <v>0</v>
      </c>
      <c r="AK62" s="257" t="str">
        <f t="shared" si="47"/>
        <v>0</v>
      </c>
      <c r="AL62" s="258" t="str">
        <f t="shared" si="48"/>
        <v>0</v>
      </c>
      <c r="AM62" s="257" t="str">
        <f t="shared" si="49"/>
        <v>0</v>
      </c>
      <c r="AN62" s="255" t="str">
        <f t="shared" si="50"/>
        <v>0</v>
      </c>
    </row>
    <row r="63" spans="1:40" x14ac:dyDescent="0.2">
      <c r="A63" s="246"/>
      <c r="B63" s="247"/>
      <c r="C63" s="247"/>
      <c r="D63" s="247"/>
      <c r="E63" s="249"/>
      <c r="F63" s="250"/>
      <c r="G63" s="251"/>
      <c r="H63" s="260"/>
      <c r="I63" s="253"/>
      <c r="J63" s="254"/>
      <c r="K63" s="572" t="str">
        <f t="shared" si="26"/>
        <v/>
      </c>
      <c r="L63" s="418"/>
      <c r="M63" s="236" t="str">
        <f>IF((ISBLANK(A63)),"",'Fee calc_closed Transactions'!F63)</f>
        <v/>
      </c>
      <c r="N63" s="237" t="str">
        <f>IF(K63="","",'Fee calc_closed Transactions'!G63)</f>
        <v/>
      </c>
      <c r="O63" s="238"/>
      <c r="P63" s="239" t="str">
        <f t="shared" si="25"/>
        <v>0</v>
      </c>
      <c r="Q63" s="240">
        <f t="shared" si="27"/>
        <v>0</v>
      </c>
      <c r="R63" s="256">
        <f t="shared" si="28"/>
        <v>0</v>
      </c>
      <c r="S63" s="257" t="str">
        <f t="shared" si="29"/>
        <v>0</v>
      </c>
      <c r="T63" s="256" t="str">
        <f t="shared" si="30"/>
        <v>0</v>
      </c>
      <c r="U63" s="257" t="str">
        <f t="shared" si="31"/>
        <v>0</v>
      </c>
      <c r="V63" s="256" t="str">
        <f t="shared" si="32"/>
        <v>0</v>
      </c>
      <c r="W63" s="257" t="str">
        <f t="shared" si="33"/>
        <v>0</v>
      </c>
      <c r="X63" s="256" t="str">
        <f t="shared" si="34"/>
        <v>0</v>
      </c>
      <c r="Y63" s="257" t="str">
        <f t="shared" si="35"/>
        <v>0</v>
      </c>
      <c r="Z63" s="256" t="str">
        <f t="shared" si="36"/>
        <v>0</v>
      </c>
      <c r="AA63" s="257" t="str">
        <f t="shared" si="37"/>
        <v>0</v>
      </c>
      <c r="AB63" s="256" t="str">
        <f t="shared" si="38"/>
        <v>0</v>
      </c>
      <c r="AC63" s="257" t="str">
        <f t="shared" si="39"/>
        <v>0</v>
      </c>
      <c r="AD63" s="256" t="str">
        <f t="shared" si="40"/>
        <v>0</v>
      </c>
      <c r="AE63" s="257" t="str">
        <f t="shared" si="41"/>
        <v>0</v>
      </c>
      <c r="AF63" s="256" t="str">
        <f t="shared" si="42"/>
        <v>0</v>
      </c>
      <c r="AG63" s="257" t="str">
        <f t="shared" si="43"/>
        <v>0</v>
      </c>
      <c r="AH63" s="256" t="str">
        <f t="shared" si="44"/>
        <v>0</v>
      </c>
      <c r="AI63" s="257" t="str">
        <f t="shared" si="45"/>
        <v>0</v>
      </c>
      <c r="AJ63" s="256" t="str">
        <f t="shared" si="46"/>
        <v>0</v>
      </c>
      <c r="AK63" s="257" t="str">
        <f t="shared" si="47"/>
        <v>0</v>
      </c>
      <c r="AL63" s="258" t="str">
        <f t="shared" si="48"/>
        <v>0</v>
      </c>
      <c r="AM63" s="257" t="str">
        <f t="shared" si="49"/>
        <v>0</v>
      </c>
      <c r="AN63" s="255" t="str">
        <f t="shared" si="50"/>
        <v>0</v>
      </c>
    </row>
    <row r="64" spans="1:40" x14ac:dyDescent="0.2">
      <c r="A64" s="261"/>
      <c r="B64" s="306"/>
      <c r="C64" s="306"/>
      <c r="D64" s="262"/>
      <c r="E64" s="263"/>
      <c r="F64" s="264"/>
      <c r="G64" s="265"/>
      <c r="H64" s="266"/>
      <c r="I64" s="267"/>
      <c r="J64" s="268"/>
      <c r="K64" s="573" t="str">
        <f t="shared" si="26"/>
        <v/>
      </c>
      <c r="L64" s="419"/>
      <c r="M64" s="236" t="str">
        <f>IF((ISBLANK(A64)),"",'Fee calc_closed Transactions'!F64)</f>
        <v/>
      </c>
      <c r="N64" s="237" t="str">
        <f>IF(K64="","",'Fee calc_closed Transactions'!G64)</f>
        <v/>
      </c>
      <c r="O64" s="269"/>
      <c r="P64" s="239" t="str">
        <f t="shared" si="25"/>
        <v>0</v>
      </c>
      <c r="Q64" s="240">
        <f t="shared" si="27"/>
        <v>0</v>
      </c>
      <c r="R64" s="271">
        <f t="shared" si="28"/>
        <v>0</v>
      </c>
      <c r="S64" s="272" t="str">
        <f t="shared" si="29"/>
        <v>0</v>
      </c>
      <c r="T64" s="271" t="str">
        <f t="shared" si="30"/>
        <v>0</v>
      </c>
      <c r="U64" s="272" t="str">
        <f t="shared" si="31"/>
        <v>0</v>
      </c>
      <c r="V64" s="271" t="str">
        <f t="shared" si="32"/>
        <v>0</v>
      </c>
      <c r="W64" s="272" t="str">
        <f t="shared" si="33"/>
        <v>0</v>
      </c>
      <c r="X64" s="271" t="str">
        <f t="shared" si="34"/>
        <v>0</v>
      </c>
      <c r="Y64" s="272" t="str">
        <f t="shared" si="35"/>
        <v>0</v>
      </c>
      <c r="Z64" s="271" t="str">
        <f t="shared" si="36"/>
        <v>0</v>
      </c>
      <c r="AA64" s="272" t="str">
        <f t="shared" si="37"/>
        <v>0</v>
      </c>
      <c r="AB64" s="271" t="str">
        <f t="shared" si="38"/>
        <v>0</v>
      </c>
      <c r="AC64" s="272" t="str">
        <f t="shared" si="39"/>
        <v>0</v>
      </c>
      <c r="AD64" s="271" t="str">
        <f t="shared" si="40"/>
        <v>0</v>
      </c>
      <c r="AE64" s="272" t="str">
        <f t="shared" si="41"/>
        <v>0</v>
      </c>
      <c r="AF64" s="271" t="str">
        <f t="shared" si="42"/>
        <v>0</v>
      </c>
      <c r="AG64" s="272" t="str">
        <f t="shared" si="43"/>
        <v>0</v>
      </c>
      <c r="AH64" s="271" t="str">
        <f t="shared" si="44"/>
        <v>0</v>
      </c>
      <c r="AI64" s="272" t="str">
        <f t="shared" si="45"/>
        <v>0</v>
      </c>
      <c r="AJ64" s="271" t="str">
        <f t="shared" si="46"/>
        <v>0</v>
      </c>
      <c r="AK64" s="272" t="str">
        <f t="shared" si="47"/>
        <v>0</v>
      </c>
      <c r="AL64" s="273" t="str">
        <f t="shared" si="48"/>
        <v>0</v>
      </c>
      <c r="AM64" s="272" t="str">
        <f t="shared" si="49"/>
        <v>0</v>
      </c>
      <c r="AN64" s="270" t="str">
        <f t="shared" si="50"/>
        <v>0</v>
      </c>
    </row>
    <row r="65" spans="1:40" s="211" customFormat="1" ht="27.75" customHeight="1" x14ac:dyDescent="0.15">
      <c r="A65" s="274">
        <f>DCOUNT(A2:A64,"coe",A9:A10)</f>
        <v>17</v>
      </c>
      <c r="B65" s="307">
        <f>SUM(B3:B64)</f>
        <v>12</v>
      </c>
      <c r="C65" s="307">
        <f>SUM(C3:C64)</f>
        <v>8</v>
      </c>
      <c r="D65" s="275"/>
      <c r="E65" s="275">
        <f>DCOUNTA(E2:E64,E2,E2:E11)</f>
        <v>1</v>
      </c>
      <c r="F65" s="276" t="s">
        <v>77</v>
      </c>
      <c r="G65" s="277">
        <f>IF(A65=0,0,E65/A65)</f>
        <v>5.8823529411764705E-2</v>
      </c>
      <c r="H65" s="278"/>
      <c r="I65" s="279"/>
      <c r="J65" s="280"/>
      <c r="K65" s="279"/>
      <c r="L65" s="279"/>
      <c r="M65" s="281"/>
      <c r="N65" s="281"/>
      <c r="O65" s="226"/>
      <c r="P65" s="282"/>
      <c r="Q65" s="282" t="s">
        <v>22</v>
      </c>
      <c r="R65" s="283" t="s">
        <v>23</v>
      </c>
      <c r="S65" s="282" t="s">
        <v>22</v>
      </c>
      <c r="T65" s="283" t="s">
        <v>23</v>
      </c>
      <c r="U65" s="282" t="s">
        <v>22</v>
      </c>
      <c r="V65" s="283" t="s">
        <v>23</v>
      </c>
      <c r="W65" s="282" t="s">
        <v>22</v>
      </c>
      <c r="X65" s="283" t="s">
        <v>23</v>
      </c>
      <c r="Y65" s="282" t="s">
        <v>22</v>
      </c>
      <c r="Z65" s="283" t="s">
        <v>23</v>
      </c>
      <c r="AA65" s="282" t="s">
        <v>22</v>
      </c>
      <c r="AB65" s="283" t="s">
        <v>23</v>
      </c>
      <c r="AC65" s="282" t="s">
        <v>22</v>
      </c>
      <c r="AD65" s="283" t="s">
        <v>23</v>
      </c>
      <c r="AE65" s="282" t="s">
        <v>22</v>
      </c>
      <c r="AF65" s="283" t="s">
        <v>23</v>
      </c>
      <c r="AG65" s="282" t="s">
        <v>22</v>
      </c>
      <c r="AH65" s="283" t="s">
        <v>23</v>
      </c>
      <c r="AI65" s="282" t="s">
        <v>22</v>
      </c>
      <c r="AJ65" s="283" t="s">
        <v>23</v>
      </c>
      <c r="AK65" s="282" t="s">
        <v>22</v>
      </c>
      <c r="AL65" s="283" t="s">
        <v>23</v>
      </c>
      <c r="AM65" s="282" t="s">
        <v>22</v>
      </c>
      <c r="AN65" s="283" t="s">
        <v>23</v>
      </c>
    </row>
    <row r="66" spans="1:40" s="211" customFormat="1" ht="27.75" customHeight="1" x14ac:dyDescent="0.15">
      <c r="B66" s="47" t="s">
        <v>312</v>
      </c>
      <c r="C66" t="str">
        <f>B65&amp;":"&amp;C65</f>
        <v>12:8</v>
      </c>
      <c r="F66" s="211" t="s">
        <v>40</v>
      </c>
      <c r="G66" s="277">
        <f>IF(A65=0,0,C65/A65)</f>
        <v>0.47058823529411764</v>
      </c>
      <c r="H66" s="700">
        <f>SUM(H3:H64)</f>
        <v>5516605</v>
      </c>
      <c r="I66" s="701">
        <f>SUM(I3:I64)</f>
        <v>5901765</v>
      </c>
      <c r="J66" s="702">
        <f>IF(J3=0,0,AVERAGE(J3:J64))</f>
        <v>0.17032723537671671</v>
      </c>
      <c r="K66" s="701">
        <f>SUM(K3:K64)</f>
        <v>119176.25065279999</v>
      </c>
      <c r="L66" s="703">
        <f>COUNT(L3:L64)</f>
        <v>6</v>
      </c>
      <c r="M66" s="284">
        <f>SUM(M3:M64)</f>
        <v>94220.475554880002</v>
      </c>
      <c r="N66" s="285">
        <f>SUM(N3:N64)</f>
        <v>21583.025097920003</v>
      </c>
      <c r="O66" s="226"/>
      <c r="P66" s="282">
        <f>SUM(P9:P64)</f>
        <v>2820220</v>
      </c>
      <c r="Q66" s="282">
        <f>SUM(Q3:Q64)</f>
        <v>10370</v>
      </c>
      <c r="R66" s="282">
        <f t="shared" ref="R66:AN66" si="51">SUM(R3:R64)</f>
        <v>0</v>
      </c>
      <c r="S66" s="282">
        <f t="shared" si="51"/>
        <v>6880.0000000000018</v>
      </c>
      <c r="T66" s="282">
        <f t="shared" si="51"/>
        <v>0</v>
      </c>
      <c r="U66" s="282">
        <f t="shared" si="51"/>
        <v>2472.2249999999999</v>
      </c>
      <c r="V66" s="282">
        <f t="shared" si="51"/>
        <v>1909.1</v>
      </c>
      <c r="W66" s="282">
        <f t="shared" si="51"/>
        <v>19125</v>
      </c>
      <c r="X66" s="282">
        <f t="shared" si="51"/>
        <v>33150</v>
      </c>
      <c r="Y66" s="282">
        <f t="shared" si="51"/>
        <v>0</v>
      </c>
      <c r="Z66" s="282">
        <f t="shared" si="51"/>
        <v>0</v>
      </c>
      <c r="AA66" s="282">
        <f t="shared" si="51"/>
        <v>2486.25</v>
      </c>
      <c r="AB66" s="282">
        <f t="shared" si="51"/>
        <v>2486.25</v>
      </c>
      <c r="AC66" s="282">
        <f t="shared" si="51"/>
        <v>4546.43805488</v>
      </c>
      <c r="AD66" s="282">
        <f t="shared" si="51"/>
        <v>0</v>
      </c>
      <c r="AE66" s="282">
        <f t="shared" si="51"/>
        <v>2100.5625</v>
      </c>
      <c r="AF66" s="282">
        <f t="shared" si="51"/>
        <v>2100.5625</v>
      </c>
      <c r="AG66" s="282">
        <f t="shared" si="51"/>
        <v>0</v>
      </c>
      <c r="AH66" s="282">
        <f t="shared" si="51"/>
        <v>13090</v>
      </c>
      <c r="AI66" s="282">
        <f t="shared" si="51"/>
        <v>0</v>
      </c>
      <c r="AJ66" s="282">
        <f t="shared" si="51"/>
        <v>0</v>
      </c>
      <c r="AK66" s="282">
        <f t="shared" si="51"/>
        <v>0</v>
      </c>
      <c r="AL66" s="282">
        <f t="shared" si="51"/>
        <v>0</v>
      </c>
      <c r="AM66" s="282">
        <f t="shared" si="51"/>
        <v>0</v>
      </c>
      <c r="AN66" s="282">
        <f t="shared" si="51"/>
        <v>0</v>
      </c>
    </row>
    <row r="67" spans="1:40" s="211" customFormat="1" ht="27.75" customHeight="1" x14ac:dyDescent="0.15">
      <c r="A67" s="286"/>
      <c r="B67" s="286"/>
      <c r="C67" s="286"/>
      <c r="D67" s="286"/>
      <c r="G67" s="277"/>
      <c r="H67" s="286"/>
      <c r="I67" s="286"/>
      <c r="J67" s="286"/>
      <c r="M67" s="287"/>
      <c r="N67" s="226"/>
      <c r="O67" s="288"/>
      <c r="P67" s="226"/>
      <c r="Q67" s="226"/>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row>
    <row r="68" spans="1:40" s="93" customFormat="1" ht="29.25" customHeight="1" x14ac:dyDescent="0.2">
      <c r="F68" s="704"/>
      <c r="G68" s="705"/>
      <c r="M68" s="706"/>
      <c r="N68" s="707"/>
      <c r="O68" s="708" t="s">
        <v>336</v>
      </c>
      <c r="P68" s="709" t="s">
        <v>293</v>
      </c>
      <c r="Q68" s="710">
        <f>SUM(Q66,R66)</f>
        <v>10370</v>
      </c>
      <c r="R68" s="710"/>
      <c r="S68" s="710">
        <f>SUM(S66,T66)+Q68</f>
        <v>17250</v>
      </c>
      <c r="T68" s="710"/>
      <c r="U68" s="710">
        <f>SUM(U66,V66)+S68</f>
        <v>21631.325000000001</v>
      </c>
      <c r="V68" s="710"/>
      <c r="W68" s="710">
        <f>SUM(W66,X66)+U68</f>
        <v>73906.324999999997</v>
      </c>
      <c r="X68" s="710"/>
      <c r="Y68" s="710">
        <f>SUM(Y66,Z66)+W68</f>
        <v>73906.324999999997</v>
      </c>
      <c r="Z68" s="710"/>
      <c r="AA68" s="710">
        <f>SUM(AA66,AB66)+Y68</f>
        <v>78878.824999999997</v>
      </c>
      <c r="AB68" s="710"/>
      <c r="AC68" s="710">
        <f>SUM(AC66,AD66)+AA68</f>
        <v>83425.263054879993</v>
      </c>
      <c r="AD68" s="710"/>
      <c r="AE68" s="710">
        <f>SUM(AE66,AF66)+AC68</f>
        <v>87626.388054879993</v>
      </c>
      <c r="AF68" s="710"/>
      <c r="AG68" s="710">
        <f>SUM(AG66,AH66)+AE68</f>
        <v>100716.38805487999</v>
      </c>
      <c r="AH68" s="710"/>
      <c r="AI68" s="710">
        <f>SUM(AI66,AJ66)+AG68</f>
        <v>100716.38805487999</v>
      </c>
      <c r="AJ68" s="710"/>
      <c r="AK68" s="710">
        <f>SUM(AK66,AL66)+AI68</f>
        <v>100716.38805487999</v>
      </c>
      <c r="AL68" s="710"/>
      <c r="AM68" s="710">
        <f>SUM(AM66,AN66)+AK68</f>
        <v>100716.38805487999</v>
      </c>
      <c r="AN68" s="710"/>
    </row>
    <row r="69" spans="1:40" s="93" customFormat="1" ht="12.75" customHeight="1" x14ac:dyDescent="0.2">
      <c r="N69" s="707"/>
      <c r="O69" s="711"/>
      <c r="P69" s="707" t="s">
        <v>45</v>
      </c>
      <c r="Q69" s="809">
        <v>8333</v>
      </c>
      <c r="R69" s="809"/>
      <c r="S69" s="809">
        <f>Q69+Budget!F4/12</f>
        <v>24999.666666666668</v>
      </c>
      <c r="T69" s="809"/>
      <c r="U69" s="809">
        <f>S69+Budget!F4/12</f>
        <v>41666.333333333336</v>
      </c>
      <c r="V69" s="809"/>
      <c r="W69" s="809">
        <f>U69+Budget!F4/12</f>
        <v>58333</v>
      </c>
      <c r="X69" s="809"/>
      <c r="Y69" s="809">
        <f>W69+Budget!F4/12</f>
        <v>74999.666666666672</v>
      </c>
      <c r="Z69" s="809"/>
      <c r="AA69" s="809">
        <f>Y69+Budget!F4/12</f>
        <v>91666.333333333343</v>
      </c>
      <c r="AB69" s="809"/>
      <c r="AC69" s="809">
        <f>AA69+Budget!F4/12</f>
        <v>108333.00000000001</v>
      </c>
      <c r="AD69" s="809"/>
      <c r="AE69" s="809">
        <f>AC69+Budget!F4/12</f>
        <v>124999.66666666669</v>
      </c>
      <c r="AF69" s="809"/>
      <c r="AG69" s="809">
        <f>AE69+Budget!F4/12</f>
        <v>141666.33333333334</v>
      </c>
      <c r="AH69" s="809"/>
      <c r="AI69" s="809">
        <f>AG69+Budget!F4/12</f>
        <v>158333</v>
      </c>
      <c r="AJ69" s="809"/>
      <c r="AK69" s="809">
        <f>AI69+Budget!F4/12</f>
        <v>174999.66666666666</v>
      </c>
      <c r="AL69" s="809"/>
      <c r="AM69" s="809">
        <f>AK69+Budget!F4/12</f>
        <v>191666.33333333331</v>
      </c>
      <c r="AN69" s="809"/>
    </row>
    <row r="70" spans="1:40" s="93" customFormat="1" ht="12.75" customHeight="1" x14ac:dyDescent="0.2"/>
    <row r="71" spans="1:40" s="93" customFormat="1" ht="12.75" customHeight="1" x14ac:dyDescent="0.2"/>
    <row r="72" spans="1:40" s="93" customFormat="1" ht="12.75" customHeight="1" x14ac:dyDescent="0.2"/>
    <row r="73" spans="1:40" ht="12.75" customHeight="1" x14ac:dyDescent="0.2">
      <c r="A73" s="93"/>
      <c r="B73" s="93"/>
      <c r="C73" s="93"/>
      <c r="D73" s="93"/>
      <c r="E73" s="93"/>
      <c r="F73" s="93"/>
      <c r="G73" s="93"/>
      <c r="H73" s="93"/>
      <c r="I73" s="93"/>
      <c r="J73" s="93"/>
      <c r="Q73" s="810"/>
      <c r="R73" s="810"/>
      <c r="S73" s="289"/>
      <c r="U73" s="289"/>
      <c r="W73" s="289"/>
      <c r="Y73" s="289"/>
      <c r="AA73" s="289"/>
      <c r="AC73" s="289"/>
      <c r="AE73" s="289"/>
      <c r="AG73" s="289"/>
      <c r="AI73" s="289"/>
      <c r="AK73" s="289"/>
      <c r="AM73" s="289"/>
    </row>
    <row r="74" spans="1:40" ht="12.75" customHeight="1" x14ac:dyDescent="0.2"/>
    <row r="81" spans="6:14" x14ac:dyDescent="0.2">
      <c r="F81" s="290"/>
      <c r="H81" s="291"/>
    </row>
    <row r="92" spans="6:14" x14ac:dyDescent="0.2">
      <c r="N92" s="94"/>
    </row>
    <row r="93" spans="6:14" x14ac:dyDescent="0.2">
      <c r="N93" s="94"/>
    </row>
    <row r="94" spans="6:14" x14ac:dyDescent="0.2">
      <c r="N94" s="94"/>
    </row>
    <row r="95" spans="6:14" x14ac:dyDescent="0.2">
      <c r="N95" s="94"/>
    </row>
    <row r="96" spans="6:14" x14ac:dyDescent="0.2">
      <c r="N96" s="94"/>
    </row>
    <row r="100" spans="14:14" x14ac:dyDescent="0.2">
      <c r="N100" s="94"/>
    </row>
    <row r="101" spans="14:14" x14ac:dyDescent="0.2">
      <c r="N101" s="94"/>
    </row>
  </sheetData>
  <sheetProtection sheet="1" selectLockedCells="1"/>
  <mergeCells count="25">
    <mergeCell ref="AK2:AL2"/>
    <mergeCell ref="AM2:AN2"/>
    <mergeCell ref="Q2:R2"/>
    <mergeCell ref="S2:T2"/>
    <mergeCell ref="U2:V2"/>
    <mergeCell ref="W2:X2"/>
    <mergeCell ref="Y2:Z2"/>
    <mergeCell ref="AA2:AB2"/>
    <mergeCell ref="AC2:AD2"/>
    <mergeCell ref="AE2:AF2"/>
    <mergeCell ref="AG2:AH2"/>
    <mergeCell ref="AI2:AJ2"/>
    <mergeCell ref="Q73:R73"/>
    <mergeCell ref="S69:T69"/>
    <mergeCell ref="U69:V69"/>
    <mergeCell ref="W69:X69"/>
    <mergeCell ref="Q69:R69"/>
    <mergeCell ref="Y69:Z69"/>
    <mergeCell ref="AI69:AJ69"/>
    <mergeCell ref="AK69:AL69"/>
    <mergeCell ref="AM69:AN69"/>
    <mergeCell ref="AA69:AB69"/>
    <mergeCell ref="AC69:AD69"/>
    <mergeCell ref="AE69:AF69"/>
    <mergeCell ref="AG69:AH69"/>
  </mergeCells>
  <phoneticPr fontId="2" type="noConversion"/>
  <pageMargins left="0.75" right="0.75" top="1" bottom="1" header="0.5" footer="0.5"/>
  <pageSetup orientation="portrait" horizontalDpi="300" verticalDpi="300"/>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97BB-2F47-43D7-A559-2E460E8E920B}">
  <sheetPr>
    <tabColor theme="8" tint="0.39997558519241921"/>
  </sheetPr>
  <dimension ref="A1:R67"/>
  <sheetViews>
    <sheetView showGridLines="0" showRowColHeaders="0" zoomScaleNormal="100" workbookViewId="0">
      <selection activeCell="C1" sqref="C1"/>
    </sheetView>
  </sheetViews>
  <sheetFormatPr baseColWidth="10" defaultColWidth="9.33203125" defaultRowHeight="14" x14ac:dyDescent="0.2"/>
  <cols>
    <col min="1" max="1" width="5.5" style="98" customWidth="1"/>
    <col min="2" max="2" width="54.83203125" style="98" customWidth="1"/>
    <col min="3" max="3" width="29.5" style="98" customWidth="1"/>
    <col min="4" max="4" width="2.1640625" customWidth="1"/>
    <col min="5" max="5" width="12.83203125" style="98" customWidth="1"/>
    <col min="6" max="18" width="9.6640625" style="98" customWidth="1"/>
    <col min="19" max="16384" width="9.33203125" style="98"/>
  </cols>
  <sheetData>
    <row r="1" spans="1:18" ht="24.75" customHeight="1" x14ac:dyDescent="0.4">
      <c r="A1" s="694"/>
      <c r="B1" s="740" t="s">
        <v>475</v>
      </c>
      <c r="C1" s="694"/>
      <c r="E1" s="694"/>
      <c r="F1" s="694"/>
      <c r="G1" s="694"/>
      <c r="H1" s="684"/>
      <c r="M1" s="652"/>
      <c r="R1" s="314"/>
    </row>
    <row r="2" spans="1:18" ht="28.5" customHeight="1" x14ac:dyDescent="0.7">
      <c r="A2" s="653"/>
      <c r="B2" s="369" t="s">
        <v>296</v>
      </c>
      <c r="C2" s="654">
        <f>'Goals &amp; Fees'!$L$4</f>
        <v>200000</v>
      </c>
      <c r="E2" s="312"/>
      <c r="F2" s="686"/>
      <c r="G2" s="687"/>
      <c r="H2" s="313"/>
      <c r="I2" s="313"/>
      <c r="J2" s="313"/>
      <c r="L2" s="651"/>
      <c r="R2" s="315"/>
    </row>
    <row r="3" spans="1:18" ht="27" x14ac:dyDescent="0.2">
      <c r="A3" s="646"/>
      <c r="B3" s="369" t="s">
        <v>375</v>
      </c>
      <c r="C3" s="654">
        <f>'Closed Transactions'!K66</f>
        <v>119176.25065279999</v>
      </c>
      <c r="F3" s="647" t="s">
        <v>360</v>
      </c>
      <c r="G3" s="648">
        <f>C3/C2</f>
        <v>0.59588125326399999</v>
      </c>
      <c r="H3" s="649">
        <f>IF(G3&gt;100%,-1%,1-G3)</f>
        <v>0.40411874673600001</v>
      </c>
      <c r="I3" s="650"/>
      <c r="J3" s="650"/>
      <c r="R3" s="315"/>
    </row>
    <row r="4" spans="1:18" ht="56" x14ac:dyDescent="0.2">
      <c r="A4" s="685"/>
      <c r="B4" s="655" t="s">
        <v>377</v>
      </c>
      <c r="C4" s="654">
        <f>'Closed Transactions'!M66</f>
        <v>94220.475554880002</v>
      </c>
      <c r="E4" s="313"/>
      <c r="F4" s="658"/>
      <c r="G4" s="102"/>
      <c r="H4" s="813"/>
      <c r="I4" s="813"/>
      <c r="J4" s="813"/>
    </row>
    <row r="5" spans="1:18" ht="14.25" customHeight="1" x14ac:dyDescent="0.7">
      <c r="A5" s="653"/>
      <c r="B5" s="656"/>
      <c r="C5" s="657"/>
      <c r="E5" s="659"/>
      <c r="F5" s="653"/>
    </row>
    <row r="6" spans="1:18" ht="53.25" customHeight="1" x14ac:dyDescent="0.7">
      <c r="A6" s="683"/>
      <c r="B6" s="369" t="s">
        <v>310</v>
      </c>
      <c r="C6" s="316">
        <f>'Closed Transactions'!B65+'Closed Transactions'!C65</f>
        <v>20</v>
      </c>
      <c r="E6" s="662"/>
      <c r="F6" s="653"/>
    </row>
    <row r="7" spans="1:18" ht="14.25" customHeight="1" x14ac:dyDescent="0.7">
      <c r="A7" s="653"/>
      <c r="B7" s="660"/>
      <c r="C7" s="661"/>
      <c r="E7" s="663"/>
      <c r="F7" s="100"/>
    </row>
    <row r="8" spans="1:18" ht="36" x14ac:dyDescent="0.2">
      <c r="A8" s="646"/>
      <c r="B8" s="369" t="s">
        <v>308</v>
      </c>
      <c r="C8" s="654">
        <f>'Closed Transactions'!I66</f>
        <v>5901765</v>
      </c>
      <c r="E8" s="664"/>
      <c r="F8" s="101"/>
    </row>
    <row r="9" spans="1:18" ht="21" x14ac:dyDescent="0.25">
      <c r="B9" s="305"/>
      <c r="C9" s="657"/>
      <c r="E9" s="311"/>
      <c r="F9" s="101"/>
      <c r="M9" s="99"/>
    </row>
    <row r="10" spans="1:18" ht="56" x14ac:dyDescent="0.2">
      <c r="B10" s="369" t="s">
        <v>330</v>
      </c>
      <c r="C10" s="310">
        <f>'Business Tracker'!O68+'Business Tracker'!W68</f>
        <v>254250</v>
      </c>
      <c r="E10" s="665"/>
    </row>
    <row r="11" spans="1:18" ht="19" customHeight="1" x14ac:dyDescent="0.3">
      <c r="B11" s="103"/>
      <c r="C11" s="664"/>
      <c r="E11" s="666"/>
      <c r="F11" s="101"/>
    </row>
    <row r="12" spans="1:18" ht="36" x14ac:dyDescent="0.2">
      <c r="B12" s="369" t="s">
        <v>309</v>
      </c>
      <c r="C12" s="316">
        <f>'Closed Transactions'!L66</f>
        <v>6</v>
      </c>
      <c r="E12" s="659"/>
      <c r="F12" s="100"/>
    </row>
    <row r="13" spans="1:18" ht="19" x14ac:dyDescent="0.25">
      <c r="B13" s="305"/>
      <c r="C13" s="664"/>
      <c r="E13" s="666"/>
      <c r="F13" s="101"/>
    </row>
    <row r="14" spans="1:18" ht="36" x14ac:dyDescent="0.2">
      <c r="B14" s="369" t="s">
        <v>311</v>
      </c>
      <c r="C14" s="316" t="str">
        <f>'Closed Transactions'!C66</f>
        <v>12:8</v>
      </c>
      <c r="E14" s="659"/>
      <c r="F14" s="814"/>
      <c r="G14" s="814"/>
      <c r="H14" s="814"/>
      <c r="I14" s="814"/>
      <c r="J14" s="814"/>
      <c r="K14" s="815"/>
      <c r="L14" s="815"/>
    </row>
    <row r="15" spans="1:18" ht="15" x14ac:dyDescent="0.2">
      <c r="A15" s="101"/>
      <c r="B15" s="311"/>
      <c r="C15" s="311"/>
      <c r="E15" s="816" t="s">
        <v>473</v>
      </c>
      <c r="F15" s="816"/>
      <c r="G15" s="816"/>
      <c r="H15" s="818" t="s">
        <v>472</v>
      </c>
      <c r="I15" s="818"/>
      <c r="J15" s="818"/>
      <c r="K15" s="820" t="s">
        <v>474</v>
      </c>
      <c r="L15" s="820"/>
      <c r="M15" s="820"/>
      <c r="N15" s="101"/>
      <c r="O15" s="667"/>
      <c r="P15" s="667"/>
      <c r="Q15" s="101"/>
    </row>
    <row r="16" spans="1:18" customFormat="1" ht="13" x14ac:dyDescent="0.15">
      <c r="E16" s="817">
        <f>'Fee calc_closed Transactions'!A10</f>
        <v>0</v>
      </c>
      <c r="F16" s="817"/>
      <c r="G16" s="817"/>
      <c r="H16" s="819">
        <f>'Fee calc_closed Transactions'!A6</f>
        <v>0</v>
      </c>
      <c r="I16" s="819"/>
      <c r="J16" s="819"/>
      <c r="K16" s="819">
        <f>'Fee calc_closed Transactions'!A15</f>
        <v>21583.025097920003</v>
      </c>
      <c r="L16" s="819"/>
      <c r="M16" s="819"/>
    </row>
    <row r="17" customFormat="1" ht="13" x14ac:dyDescent="0.15"/>
    <row r="18" customFormat="1" ht="13" x14ac:dyDescent="0.15"/>
    <row r="19" customFormat="1" ht="13" x14ac:dyDescent="0.15"/>
    <row r="20" customFormat="1" ht="13" x14ac:dyDescent="0.15"/>
    <row r="21" customFormat="1" ht="13" x14ac:dyDescent="0.15"/>
    <row r="22" customFormat="1" ht="13" x14ac:dyDescent="0.15"/>
    <row r="23" customFormat="1" ht="13" x14ac:dyDescent="0.15"/>
    <row r="24" customFormat="1" ht="13" x14ac:dyDescent="0.15"/>
    <row r="25" customFormat="1" ht="13" x14ac:dyDescent="0.15"/>
    <row r="26" customFormat="1" ht="13" x14ac:dyDescent="0.15"/>
    <row r="27" customFormat="1" ht="13" x14ac:dyDescent="0.15"/>
    <row r="28" customFormat="1" ht="13" x14ac:dyDescent="0.15"/>
    <row r="29" customFormat="1" ht="13" x14ac:dyDescent="0.15"/>
    <row r="30" customFormat="1" ht="13" x14ac:dyDescent="0.15"/>
    <row r="31" customFormat="1" ht="34" customHeight="1" x14ac:dyDescent="0.15"/>
    <row r="32" customFormat="1" ht="13" x14ac:dyDescent="0.15"/>
    <row r="33" customFormat="1" ht="13" x14ac:dyDescent="0.15"/>
    <row r="34" customFormat="1" ht="13" x14ac:dyDescent="0.15"/>
    <row r="35" customFormat="1" ht="13" x14ac:dyDescent="0.15"/>
    <row r="36" customFormat="1" ht="13" x14ac:dyDescent="0.15"/>
    <row r="37" customFormat="1" ht="13" x14ac:dyDescent="0.15"/>
    <row r="38" customFormat="1" ht="13" x14ac:dyDescent="0.15"/>
    <row r="39" customFormat="1" ht="13" x14ac:dyDescent="0.15"/>
    <row r="40" customFormat="1" ht="13" x14ac:dyDescent="0.15"/>
    <row r="41" customFormat="1" ht="13" x14ac:dyDescent="0.15"/>
    <row r="42" customFormat="1" ht="13" x14ac:dyDescent="0.15"/>
    <row r="43" customFormat="1" ht="13" x14ac:dyDescent="0.15"/>
    <row r="44" customFormat="1" ht="13" x14ac:dyDescent="0.15"/>
    <row r="45" customFormat="1" ht="13" x14ac:dyDescent="0.15"/>
    <row r="46" customFormat="1" ht="13" x14ac:dyDescent="0.15"/>
    <row r="47" customFormat="1" ht="13" x14ac:dyDescent="0.15"/>
    <row r="48" customFormat="1" ht="13" x14ac:dyDescent="0.15"/>
    <row r="49" customFormat="1" ht="13" x14ac:dyDescent="0.15"/>
    <row r="50" customFormat="1" ht="13" x14ac:dyDescent="0.15"/>
    <row r="51" customFormat="1" ht="13" x14ac:dyDescent="0.15"/>
    <row r="52" customFormat="1" ht="13" x14ac:dyDescent="0.15"/>
    <row r="53" customFormat="1" ht="13" x14ac:dyDescent="0.15"/>
    <row r="54" customFormat="1" ht="13" x14ac:dyDescent="0.15"/>
    <row r="55" customFormat="1" ht="13" x14ac:dyDescent="0.15"/>
    <row r="56" customFormat="1" ht="13" x14ac:dyDescent="0.15"/>
    <row r="57" customFormat="1" ht="13" x14ac:dyDescent="0.15"/>
    <row r="58" customFormat="1" ht="13" x14ac:dyDescent="0.15"/>
    <row r="59" customFormat="1" ht="13" x14ac:dyDescent="0.15"/>
    <row r="60" customFormat="1" ht="13" x14ac:dyDescent="0.15"/>
    <row r="61" customFormat="1" ht="13" x14ac:dyDescent="0.15"/>
    <row r="62" customFormat="1" ht="13" x14ac:dyDescent="0.15"/>
    <row r="63" customFormat="1" ht="13" x14ac:dyDescent="0.15"/>
    <row r="64" customFormat="1" ht="13" x14ac:dyDescent="0.15"/>
    <row r="65" spans="3:3" customFormat="1" ht="13" x14ac:dyDescent="0.15"/>
    <row r="67" spans="3:3" ht="24" x14ac:dyDescent="0.2">
      <c r="C67" s="662"/>
    </row>
  </sheetData>
  <sheetProtection sheet="1" objects="1" scenarios="1" selectLockedCells="1" selectUnlockedCells="1"/>
  <mergeCells count="9">
    <mergeCell ref="H4:J4"/>
    <mergeCell ref="F14:J14"/>
    <mergeCell ref="K14:L14"/>
    <mergeCell ref="E15:G15"/>
    <mergeCell ref="E16:G16"/>
    <mergeCell ref="H15:J15"/>
    <mergeCell ref="H16:J16"/>
    <mergeCell ref="K15:M15"/>
    <mergeCell ref="K16:M16"/>
  </mergeCells>
  <pageMargins left="0.7" right="0.7" top="0.75" bottom="0.75" header="0.3" footer="0.3"/>
  <pageSetup orientation="landscape" horizontalDpi="360" verticalDpi="360" r:id="rId1"/>
  <colBreaks count="1" manualBreakCount="1">
    <brk id="4" max="14"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BF0C2-5911-4657-B259-52D9A6A1673F}">
  <sheetPr>
    <tabColor theme="8"/>
  </sheetPr>
  <dimension ref="A1:AH139"/>
  <sheetViews>
    <sheetView showGridLines="0" showRowColHeaders="0" tabSelected="1" topLeftCell="A110" zoomScale="185" zoomScaleNormal="100" workbookViewId="0">
      <selection activeCell="Q123" sqref="Q123"/>
    </sheetView>
  </sheetViews>
  <sheetFormatPr baseColWidth="10" defaultColWidth="9.1640625" defaultRowHeight="16" x14ac:dyDescent="0.2"/>
  <cols>
    <col min="1" max="1" width="10.1640625" style="21" bestFit="1" customWidth="1"/>
    <col min="2" max="2" width="5.5" style="21" customWidth="1"/>
    <col min="3" max="7" width="6.6640625" style="21" customWidth="1"/>
    <col min="8" max="8" width="9.33203125" style="21" bestFit="1" customWidth="1"/>
    <col min="9" max="14" width="6.6640625" style="21" customWidth="1"/>
    <col min="15" max="15" width="10.1640625" style="21" bestFit="1" customWidth="1"/>
    <col min="16" max="16" width="9.33203125" style="21" bestFit="1" customWidth="1"/>
    <col min="17" max="20" width="6.6640625" style="21" customWidth="1"/>
    <col min="21" max="22" width="9.1640625" style="21" customWidth="1"/>
    <col min="23" max="26" width="17.1640625" style="21" customWidth="1"/>
    <col min="27" max="27" width="9.1640625" style="21" customWidth="1"/>
    <col min="28" max="28" width="9.1640625" style="21"/>
    <col min="29" max="29" width="12.5" style="21" hidden="1" customWidth="1"/>
    <col min="30" max="33" width="9.33203125" style="21" hidden="1" customWidth="1"/>
    <col min="34" max="34" width="12.5" style="21" hidden="1" customWidth="1"/>
    <col min="35" max="16384" width="9.1640625" style="21"/>
  </cols>
  <sheetData>
    <row r="1" spans="1:34" ht="34.5" customHeight="1" thickBot="1" x14ac:dyDescent="0.25">
      <c r="B1" s="689" t="s">
        <v>372</v>
      </c>
    </row>
    <row r="2" spans="1:34" ht="23" thickTop="1" thickBot="1" x14ac:dyDescent="0.3">
      <c r="A2" s="824" t="s">
        <v>186</v>
      </c>
      <c r="B2" s="825"/>
      <c r="C2" s="825"/>
      <c r="D2" s="825"/>
      <c r="E2" s="825"/>
      <c r="F2" s="826"/>
      <c r="H2" s="821" t="s">
        <v>187</v>
      </c>
      <c r="I2" s="822"/>
      <c r="J2" s="822"/>
      <c r="K2" s="822"/>
      <c r="L2" s="822"/>
      <c r="M2" s="823"/>
      <c r="O2" s="830" t="s">
        <v>188</v>
      </c>
      <c r="P2" s="831"/>
      <c r="Q2" s="831"/>
      <c r="R2" s="831"/>
      <c r="S2" s="831"/>
      <c r="T2" s="832"/>
      <c r="W2" s="630" t="s">
        <v>371</v>
      </c>
      <c r="X2" s="322"/>
      <c r="Y2" s="322"/>
      <c r="Z2" s="322"/>
      <c r="AA2"/>
      <c r="AC2" s="22" t="s">
        <v>199</v>
      </c>
      <c r="AE2" s="23" t="s">
        <v>209</v>
      </c>
    </row>
    <row r="3" spans="1:34" s="27" customFormat="1" ht="20" customHeight="1" thickBot="1" x14ac:dyDescent="0.25">
      <c r="A3" s="24" t="s">
        <v>4</v>
      </c>
      <c r="B3" s="25" t="s">
        <v>69</v>
      </c>
      <c r="C3" s="199" t="s">
        <v>0</v>
      </c>
      <c r="D3" s="199" t="s">
        <v>1</v>
      </c>
      <c r="E3" s="199" t="s">
        <v>2</v>
      </c>
      <c r="F3" s="26" t="s">
        <v>97</v>
      </c>
      <c r="G3" s="21"/>
      <c r="H3" s="205" t="s">
        <v>4</v>
      </c>
      <c r="I3" s="25" t="s">
        <v>69</v>
      </c>
      <c r="J3" s="202" t="s">
        <v>0</v>
      </c>
      <c r="K3" s="202" t="s">
        <v>1</v>
      </c>
      <c r="L3" s="202" t="s">
        <v>2</v>
      </c>
      <c r="M3" s="209" t="s">
        <v>97</v>
      </c>
      <c r="N3" s="21"/>
      <c r="O3" s="205" t="s">
        <v>4</v>
      </c>
      <c r="P3" s="25" t="s">
        <v>69</v>
      </c>
      <c r="Q3" s="199" t="s">
        <v>0</v>
      </c>
      <c r="R3" s="199" t="s">
        <v>1</v>
      </c>
      <c r="S3" s="199" t="s">
        <v>2</v>
      </c>
      <c r="T3" s="568" t="s">
        <v>97</v>
      </c>
      <c r="V3" s="54"/>
      <c r="W3" s="323" t="s">
        <v>6</v>
      </c>
      <c r="X3" s="596" t="s">
        <v>187</v>
      </c>
      <c r="Y3" s="324" t="s">
        <v>5</v>
      </c>
      <c r="Z3" s="349">
        <f>VLOOKUP(X3,'PIE Tracker'!$AC$4:$AH$15,6,FALSE)</f>
        <v>27</v>
      </c>
      <c r="AA3"/>
      <c r="AC3" s="28" t="s">
        <v>197</v>
      </c>
      <c r="AD3" s="29" t="s">
        <v>0</v>
      </c>
      <c r="AE3" s="29" t="s">
        <v>1</v>
      </c>
      <c r="AF3" s="29" t="s">
        <v>2</v>
      </c>
      <c r="AG3" s="29" t="s">
        <v>97</v>
      </c>
      <c r="AH3" s="30" t="s">
        <v>198</v>
      </c>
    </row>
    <row r="4" spans="1:34" s="27" customFormat="1" ht="15" customHeight="1" thickBot="1" x14ac:dyDescent="0.25">
      <c r="A4" s="31">
        <f>DATEVALUE(CONCATENATE("1/1/",Budget!$A$1))</f>
        <v>45658</v>
      </c>
      <c r="B4" s="32">
        <f>IF(A4&lt;&gt;"",WEEKDAY(A4,1),"")</f>
        <v>4</v>
      </c>
      <c r="C4" s="200">
        <v>4</v>
      </c>
      <c r="D4" s="200">
        <v>0.25</v>
      </c>
      <c r="E4" s="200">
        <v>1.5</v>
      </c>
      <c r="F4" s="26">
        <f t="shared" ref="F4:F34" si="0">IF(C4="", " ",C4-D4-E4)</f>
        <v>2.25</v>
      </c>
      <c r="G4" s="21"/>
      <c r="H4" s="206">
        <f>DATEVALUE(CONCATENATE("2/1/",Budget!$A$1))</f>
        <v>45689</v>
      </c>
      <c r="I4" s="32">
        <f>IF(H4&lt;&gt;"",WEEKDAY(H4,1),"")</f>
        <v>7</v>
      </c>
      <c r="J4" s="203">
        <v>0.5</v>
      </c>
      <c r="K4" s="203">
        <v>0.5</v>
      </c>
      <c r="L4" s="203">
        <v>0</v>
      </c>
      <c r="M4" s="209">
        <f t="shared" ref="M4:M32" si="1">IF(J4="", " ",J4-K4-L4)</f>
        <v>0</v>
      </c>
      <c r="N4" s="21"/>
      <c r="O4" s="569">
        <f>DATEVALUE(CONCATENATE("3/1/",Budget!$A$1))</f>
        <v>45717</v>
      </c>
      <c r="P4" s="32">
        <f>IF(O4&lt;&gt;"",WEEKDAY(O4,1),"")</f>
        <v>7</v>
      </c>
      <c r="Q4" s="200">
        <v>2</v>
      </c>
      <c r="R4" s="200">
        <v>1</v>
      </c>
      <c r="S4" s="200">
        <v>0</v>
      </c>
      <c r="T4" s="568">
        <f t="shared" ref="T4:T34" si="2">IF(Q4="", " ",Q4-R4-S4)</f>
        <v>1</v>
      </c>
      <c r="W4" s="326"/>
      <c r="X4" s="322"/>
      <c r="Y4" s="322"/>
      <c r="Z4" s="327"/>
      <c r="AA4"/>
      <c r="AC4" s="33" t="s">
        <v>186</v>
      </c>
      <c r="AD4" s="27">
        <f>SUM(C4:C34)</f>
        <v>228.58332999999999</v>
      </c>
      <c r="AE4" s="27">
        <f>SUM(D4:D34)</f>
        <v>61.24</v>
      </c>
      <c r="AF4" s="27">
        <f>SUM(E4:E34)</f>
        <v>23.75</v>
      </c>
      <c r="AG4" s="27">
        <f>SUM(F4:F34)</f>
        <v>143.59333000000001</v>
      </c>
      <c r="AH4" s="34">
        <f>COUNTIF(C4:C34,"&gt;0")</f>
        <v>31</v>
      </c>
    </row>
    <row r="5" spans="1:34" s="27" customFormat="1" ht="15" customHeight="1" thickBot="1" x14ac:dyDescent="0.25">
      <c r="A5" s="31">
        <f>A4+1</f>
        <v>45659</v>
      </c>
      <c r="B5" s="32">
        <f t="shared" ref="B5:B34" si="3">IF(A5&lt;&gt;"",WEEKDAY(A5,1),"")</f>
        <v>5</v>
      </c>
      <c r="C5" s="200">
        <v>5</v>
      </c>
      <c r="D5" s="200">
        <v>0.25</v>
      </c>
      <c r="E5" s="200">
        <v>1.25</v>
      </c>
      <c r="F5" s="26">
        <f t="shared" si="0"/>
        <v>3.5</v>
      </c>
      <c r="G5" s="21"/>
      <c r="H5" s="206">
        <f>H4+1</f>
        <v>45690</v>
      </c>
      <c r="I5" s="32">
        <f t="shared" ref="I5:I32" si="4">IF(H5&lt;&gt;"",WEEKDAY(H5,1),"")</f>
        <v>1</v>
      </c>
      <c r="J5" s="203">
        <v>3</v>
      </c>
      <c r="K5" s="203">
        <v>1</v>
      </c>
      <c r="L5" s="203">
        <v>0</v>
      </c>
      <c r="M5" s="209">
        <f t="shared" si="1"/>
        <v>2</v>
      </c>
      <c r="N5" s="21"/>
      <c r="O5" s="569">
        <f>O4+1</f>
        <v>45718</v>
      </c>
      <c r="P5" s="32">
        <f t="shared" ref="P5:P34" si="5">IF(O5&lt;&gt;"",WEEKDAY(O5,1),"")</f>
        <v>1</v>
      </c>
      <c r="Q5" s="200">
        <v>0</v>
      </c>
      <c r="R5" s="200">
        <v>0</v>
      </c>
      <c r="S5" s="200">
        <v>0</v>
      </c>
      <c r="T5" s="568">
        <f t="shared" si="2"/>
        <v>0</v>
      </c>
      <c r="W5" s="326"/>
      <c r="X5" s="322"/>
      <c r="Y5" s="322"/>
      <c r="Z5" s="327"/>
      <c r="AA5"/>
      <c r="AC5" s="33" t="s">
        <v>187</v>
      </c>
      <c r="AD5" s="27">
        <f>SUM(J4:J34)</f>
        <v>205.5</v>
      </c>
      <c r="AE5" s="27">
        <f>SUM(K4:K34)</f>
        <v>53.25</v>
      </c>
      <c r="AF5" s="27">
        <f>SUM(L4:L34)</f>
        <v>8.5</v>
      </c>
      <c r="AG5" s="27">
        <f>SUM(M4:M34)</f>
        <v>143.75</v>
      </c>
      <c r="AH5" s="34">
        <f>COUNTIF(J4:J34,"&gt;0")</f>
        <v>27</v>
      </c>
    </row>
    <row r="6" spans="1:34" s="27" customFormat="1" ht="15" customHeight="1" thickBot="1" x14ac:dyDescent="0.25">
      <c r="A6" s="31">
        <f t="shared" ref="A6:A34" si="6">A5+1</f>
        <v>45660</v>
      </c>
      <c r="B6" s="32">
        <f t="shared" si="3"/>
        <v>6</v>
      </c>
      <c r="C6" s="200">
        <v>9</v>
      </c>
      <c r="D6" s="200">
        <v>3.5</v>
      </c>
      <c r="E6" s="200">
        <v>0</v>
      </c>
      <c r="F6" s="26">
        <f t="shared" si="0"/>
        <v>5.5</v>
      </c>
      <c r="G6" s="21"/>
      <c r="H6" s="206">
        <f t="shared" ref="H6:H31" si="7">H5+1</f>
        <v>45691</v>
      </c>
      <c r="I6" s="32">
        <f t="shared" si="4"/>
        <v>2</v>
      </c>
      <c r="J6" s="203">
        <v>8.5</v>
      </c>
      <c r="K6" s="203">
        <v>3.5</v>
      </c>
      <c r="L6" s="203">
        <v>0</v>
      </c>
      <c r="M6" s="209">
        <f t="shared" si="1"/>
        <v>5</v>
      </c>
      <c r="N6" s="21"/>
      <c r="O6" s="569">
        <f t="shared" ref="O6:O34" si="8">O5+1</f>
        <v>45719</v>
      </c>
      <c r="P6" s="32">
        <f t="shared" si="5"/>
        <v>2</v>
      </c>
      <c r="Q6" s="200">
        <v>8</v>
      </c>
      <c r="R6" s="200">
        <v>2</v>
      </c>
      <c r="S6" s="200">
        <v>0</v>
      </c>
      <c r="T6" s="568">
        <f t="shared" si="2"/>
        <v>6</v>
      </c>
      <c r="W6" s="330" t="s">
        <v>17</v>
      </c>
      <c r="X6" s="331" t="s">
        <v>16</v>
      </c>
      <c r="Y6" s="331" t="s">
        <v>15</v>
      </c>
      <c r="Z6" s="350" t="s">
        <v>98</v>
      </c>
      <c r="AA6"/>
      <c r="AC6" s="33" t="s">
        <v>188</v>
      </c>
      <c r="AD6" s="27">
        <f>SUM(Q4:Q34)</f>
        <v>216.82999999999998</v>
      </c>
      <c r="AE6" s="27">
        <f>SUM(R4:R34)</f>
        <v>66.75</v>
      </c>
      <c r="AF6" s="27">
        <f>SUM(S4:S34)</f>
        <v>21.75</v>
      </c>
      <c r="AG6" s="27">
        <f>SUM(T4:T34)</f>
        <v>128.32999999999998</v>
      </c>
      <c r="AH6" s="34">
        <f>COUNTIF(Q4:Q34,"&gt;0")</f>
        <v>29</v>
      </c>
    </row>
    <row r="7" spans="1:34" s="27" customFormat="1" ht="15" customHeight="1" thickBot="1" x14ac:dyDescent="0.25">
      <c r="A7" s="31">
        <f t="shared" si="6"/>
        <v>45661</v>
      </c>
      <c r="B7" s="32">
        <f t="shared" si="3"/>
        <v>7</v>
      </c>
      <c r="C7" s="200">
        <v>3</v>
      </c>
      <c r="D7" s="200">
        <v>2</v>
      </c>
      <c r="E7" s="200">
        <v>0</v>
      </c>
      <c r="F7" s="26">
        <f t="shared" si="0"/>
        <v>1</v>
      </c>
      <c r="G7" s="21"/>
      <c r="H7" s="206">
        <f t="shared" si="7"/>
        <v>45692</v>
      </c>
      <c r="I7" s="32">
        <f t="shared" si="4"/>
        <v>3</v>
      </c>
      <c r="J7" s="203">
        <v>7.5</v>
      </c>
      <c r="K7" s="203">
        <v>1.75</v>
      </c>
      <c r="L7" s="203">
        <v>0.5</v>
      </c>
      <c r="M7" s="209">
        <f t="shared" si="1"/>
        <v>5.25</v>
      </c>
      <c r="N7" s="21"/>
      <c r="O7" s="569">
        <f t="shared" si="8"/>
        <v>45720</v>
      </c>
      <c r="P7" s="32">
        <f t="shared" si="5"/>
        <v>3</v>
      </c>
      <c r="Q7" s="200">
        <v>7</v>
      </c>
      <c r="R7" s="200">
        <v>1</v>
      </c>
      <c r="S7" s="200">
        <v>0</v>
      </c>
      <c r="T7" s="568">
        <f t="shared" si="2"/>
        <v>6</v>
      </c>
      <c r="W7" s="332">
        <f>IFERROR(VLOOKUP(X3,'PIE Tracker'!$AC$4:$AG$15,2,FALSE),"Is the month spelled correctly in cell M1?")</f>
        <v>205.5</v>
      </c>
      <c r="X7" s="333">
        <f>IFERROR(VLOOKUP(X3,'PIE Tracker'!$AC$4:$AG$15,3,FALSE),"Is the month spelled correctly in cell M1?")</f>
        <v>53.25</v>
      </c>
      <c r="Y7" s="333">
        <f>IFERROR(VLOOKUP(X3,'PIE Tracker'!$AC$4:$AG$15,4,FALSE),"Is the month spelled correctly in cell M1?")</f>
        <v>8.5</v>
      </c>
      <c r="Z7" s="351">
        <f>IFERROR(VLOOKUP(X3,'PIE Tracker'!$AC$4:$AG$15,5,FALSE),"Is the month spelled correctly in cell M1?")</f>
        <v>143.75</v>
      </c>
      <c r="AA7"/>
      <c r="AC7" s="33" t="s">
        <v>189</v>
      </c>
      <c r="AD7" s="27">
        <f>SUM(C39:C68)</f>
        <v>166</v>
      </c>
      <c r="AE7" s="27">
        <f>SUM(D39:D68)</f>
        <v>50.25</v>
      </c>
      <c r="AF7" s="27">
        <f>SUM(E39:E68)</f>
        <v>7.5</v>
      </c>
      <c r="AG7" s="27">
        <f>SUM(F39:F68)</f>
        <v>108.25</v>
      </c>
      <c r="AH7" s="34">
        <f>COUNTIF(C39:C68,"&gt;0")</f>
        <v>28</v>
      </c>
    </row>
    <row r="8" spans="1:34" s="27" customFormat="1" ht="15" customHeight="1" thickBot="1" x14ac:dyDescent="0.25">
      <c r="A8" s="31">
        <f t="shared" si="6"/>
        <v>45662</v>
      </c>
      <c r="B8" s="32">
        <f t="shared" si="3"/>
        <v>1</v>
      </c>
      <c r="C8" s="200">
        <v>2.5</v>
      </c>
      <c r="D8" s="200">
        <v>2.5</v>
      </c>
      <c r="E8" s="200">
        <v>0</v>
      </c>
      <c r="F8" s="26">
        <f t="shared" si="0"/>
        <v>0</v>
      </c>
      <c r="G8" s="21"/>
      <c r="H8" s="206">
        <f t="shared" si="7"/>
        <v>45693</v>
      </c>
      <c r="I8" s="32">
        <f t="shared" si="4"/>
        <v>4</v>
      </c>
      <c r="J8" s="203">
        <v>13</v>
      </c>
      <c r="K8" s="203">
        <v>4.5</v>
      </c>
      <c r="L8" s="203">
        <v>0</v>
      </c>
      <c r="M8" s="209">
        <f t="shared" si="1"/>
        <v>8.5</v>
      </c>
      <c r="N8" s="21"/>
      <c r="O8" s="569">
        <f t="shared" si="8"/>
        <v>45721</v>
      </c>
      <c r="P8" s="32">
        <f t="shared" si="5"/>
        <v>4</v>
      </c>
      <c r="Q8" s="200">
        <v>12</v>
      </c>
      <c r="R8" s="200">
        <v>5</v>
      </c>
      <c r="S8" s="200">
        <v>0</v>
      </c>
      <c r="T8" s="568">
        <f t="shared" si="2"/>
        <v>7</v>
      </c>
      <c r="W8" s="329"/>
      <c r="X8" s="360"/>
      <c r="Y8" s="360"/>
      <c r="Z8" s="339"/>
      <c r="AA8"/>
      <c r="AC8" s="33" t="s">
        <v>20</v>
      </c>
      <c r="AD8" s="27">
        <f>SUM(J39:J69)</f>
        <v>164.75</v>
      </c>
      <c r="AE8" s="27">
        <f>SUM(K39:K69)</f>
        <v>57.25</v>
      </c>
      <c r="AF8" s="27">
        <f>SUM(L39:L69)</f>
        <v>6.25</v>
      </c>
      <c r="AG8" s="27">
        <f>SUM(M39:M69)</f>
        <v>101.25</v>
      </c>
      <c r="AH8" s="34">
        <f>COUNTIF(J39:J69,"&gt;0")</f>
        <v>29</v>
      </c>
    </row>
    <row r="9" spans="1:34" s="27" customFormat="1" ht="15" customHeight="1" thickBot="1" x14ac:dyDescent="0.25">
      <c r="A9" s="31">
        <f t="shared" si="6"/>
        <v>45663</v>
      </c>
      <c r="B9" s="32">
        <f t="shared" si="3"/>
        <v>2</v>
      </c>
      <c r="C9" s="200">
        <v>7</v>
      </c>
      <c r="D9" s="200">
        <v>1</v>
      </c>
      <c r="E9" s="200">
        <v>0.75</v>
      </c>
      <c r="F9" s="26">
        <f t="shared" si="0"/>
        <v>5.25</v>
      </c>
      <c r="G9" s="21"/>
      <c r="H9" s="206">
        <f t="shared" si="7"/>
        <v>45694</v>
      </c>
      <c r="I9" s="32">
        <f t="shared" si="4"/>
        <v>5</v>
      </c>
      <c r="J9" s="203">
        <v>10.5</v>
      </c>
      <c r="K9" s="203">
        <v>0.5</v>
      </c>
      <c r="L9" s="203">
        <v>0</v>
      </c>
      <c r="M9" s="209">
        <f t="shared" si="1"/>
        <v>10</v>
      </c>
      <c r="N9" s="21"/>
      <c r="O9" s="569">
        <f t="shared" si="8"/>
        <v>45722</v>
      </c>
      <c r="P9" s="32">
        <f t="shared" si="5"/>
        <v>5</v>
      </c>
      <c r="Q9" s="200">
        <v>11</v>
      </c>
      <c r="R9" s="200">
        <v>2</v>
      </c>
      <c r="S9" s="200">
        <v>3.75</v>
      </c>
      <c r="T9" s="568">
        <f t="shared" si="2"/>
        <v>5.25</v>
      </c>
      <c r="W9" s="329"/>
      <c r="X9" s="325"/>
      <c r="Y9" s="325"/>
      <c r="Z9" s="328"/>
      <c r="AA9"/>
      <c r="AC9" s="33" t="s">
        <v>190</v>
      </c>
      <c r="AD9" s="27">
        <f>SUM(Q39:Q68)</f>
        <v>110.5</v>
      </c>
      <c r="AE9" s="27">
        <f>SUM(R39:R68)</f>
        <v>35.25</v>
      </c>
      <c r="AF9" s="27">
        <f>SUM(S39:S68)</f>
        <v>3.25</v>
      </c>
      <c r="AG9" s="27">
        <f>SUM(T39:T68)</f>
        <v>72</v>
      </c>
      <c r="AH9" s="34">
        <f>COUNTIF(Q39:Q68,"&gt;0")</f>
        <v>17</v>
      </c>
    </row>
    <row r="10" spans="1:34" s="27" customFormat="1" ht="15" customHeight="1" thickBot="1" x14ac:dyDescent="0.25">
      <c r="A10" s="31">
        <f t="shared" si="6"/>
        <v>45664</v>
      </c>
      <c r="B10" s="32">
        <f t="shared" si="3"/>
        <v>3</v>
      </c>
      <c r="C10" s="200">
        <v>7.5</v>
      </c>
      <c r="D10" s="200">
        <v>2</v>
      </c>
      <c r="E10" s="200">
        <v>0</v>
      </c>
      <c r="F10" s="26">
        <f t="shared" si="0"/>
        <v>5.5</v>
      </c>
      <c r="G10" s="21"/>
      <c r="H10" s="206">
        <f t="shared" si="7"/>
        <v>45695</v>
      </c>
      <c r="I10" s="32">
        <f t="shared" si="4"/>
        <v>6</v>
      </c>
      <c r="J10" s="203">
        <v>9</v>
      </c>
      <c r="K10" s="203">
        <v>3</v>
      </c>
      <c r="L10" s="203">
        <v>0</v>
      </c>
      <c r="M10" s="209">
        <f t="shared" si="1"/>
        <v>6</v>
      </c>
      <c r="N10" s="21"/>
      <c r="O10" s="569">
        <f t="shared" si="8"/>
        <v>45723</v>
      </c>
      <c r="P10" s="32">
        <f t="shared" si="5"/>
        <v>6</v>
      </c>
      <c r="Q10" s="200">
        <v>2</v>
      </c>
      <c r="R10" s="200">
        <v>2</v>
      </c>
      <c r="S10" s="200">
        <v>0</v>
      </c>
      <c r="T10" s="568">
        <f t="shared" si="2"/>
        <v>0</v>
      </c>
      <c r="W10" s="334"/>
      <c r="X10" s="331" t="s">
        <v>13</v>
      </c>
      <c r="Y10" s="331" t="s">
        <v>12</v>
      </c>
      <c r="Z10" s="350" t="s">
        <v>99</v>
      </c>
      <c r="AA10"/>
      <c r="AC10" s="33" t="s">
        <v>191</v>
      </c>
      <c r="AD10" s="27">
        <f>SUM(C74:C104)</f>
        <v>186.75</v>
      </c>
      <c r="AE10" s="27">
        <f>SUM(D74:D104)</f>
        <v>48.75</v>
      </c>
      <c r="AF10" s="27">
        <f>SUM(E74:E104)</f>
        <v>11.5</v>
      </c>
      <c r="AG10" s="27">
        <f>SUM(F74:F104)</f>
        <v>126.5</v>
      </c>
      <c r="AH10" s="34">
        <f>COUNTIF(C74:C104,"&gt;0")</f>
        <v>24</v>
      </c>
    </row>
    <row r="11" spans="1:34" s="27" customFormat="1" ht="15" customHeight="1" thickBot="1" x14ac:dyDescent="0.25">
      <c r="A11" s="31">
        <f t="shared" si="6"/>
        <v>45665</v>
      </c>
      <c r="B11" s="32">
        <f t="shared" si="3"/>
        <v>4</v>
      </c>
      <c r="C11" s="200">
        <v>11.33333</v>
      </c>
      <c r="D11" s="200">
        <v>5.24</v>
      </c>
      <c r="E11" s="200">
        <v>1</v>
      </c>
      <c r="F11" s="26">
        <f t="shared" si="0"/>
        <v>5.0933299999999999</v>
      </c>
      <c r="G11" s="21"/>
      <c r="H11" s="206">
        <f t="shared" si="7"/>
        <v>45696</v>
      </c>
      <c r="I11" s="32">
        <f t="shared" si="4"/>
        <v>7</v>
      </c>
      <c r="J11" s="203">
        <v>10</v>
      </c>
      <c r="K11" s="203">
        <v>1</v>
      </c>
      <c r="L11" s="203">
        <v>5</v>
      </c>
      <c r="M11" s="209">
        <f t="shared" si="1"/>
        <v>4</v>
      </c>
      <c r="N11" s="21"/>
      <c r="O11" s="569">
        <f t="shared" si="8"/>
        <v>45724</v>
      </c>
      <c r="P11" s="32">
        <f t="shared" si="5"/>
        <v>7</v>
      </c>
      <c r="Q11" s="200">
        <v>2</v>
      </c>
      <c r="R11" s="200">
        <v>2</v>
      </c>
      <c r="S11" s="200">
        <v>0</v>
      </c>
      <c r="T11" s="568">
        <f t="shared" si="2"/>
        <v>0</v>
      </c>
      <c r="W11" s="335"/>
      <c r="X11" s="336">
        <f>IF(W7=0,0,X7/W7)</f>
        <v>0.25912408759124089</v>
      </c>
      <c r="Y11" s="336">
        <f>IF(X7=0,0,Y7/W7)</f>
        <v>4.1362530413625302E-2</v>
      </c>
      <c r="Z11" s="352">
        <f>IF(Y7=0,0,Z7/W7)</f>
        <v>0.6995133819951338</v>
      </c>
      <c r="AA11"/>
      <c r="AC11" s="33" t="s">
        <v>192</v>
      </c>
      <c r="AD11" s="27">
        <f>SUM(J74:J104)</f>
        <v>186</v>
      </c>
      <c r="AE11" s="27">
        <f>SUM(K74:K104)</f>
        <v>60</v>
      </c>
      <c r="AF11" s="27">
        <f>SUM(L74:L104)</f>
        <v>4.5</v>
      </c>
      <c r="AG11" s="27">
        <f>SUM(M74:M104)</f>
        <v>121.5</v>
      </c>
      <c r="AH11" s="34">
        <f>COUNTIF(J74:J104,"&gt;0")</f>
        <v>31</v>
      </c>
    </row>
    <row r="12" spans="1:34" s="27" customFormat="1" ht="15" customHeight="1" thickBot="1" x14ac:dyDescent="0.25">
      <c r="A12" s="31">
        <f t="shared" si="6"/>
        <v>45666</v>
      </c>
      <c r="B12" s="32">
        <f t="shared" si="3"/>
        <v>5</v>
      </c>
      <c r="C12" s="200">
        <v>11.5</v>
      </c>
      <c r="D12" s="200">
        <v>3.75</v>
      </c>
      <c r="E12" s="200">
        <v>0.5</v>
      </c>
      <c r="F12" s="26">
        <f t="shared" si="0"/>
        <v>7.25</v>
      </c>
      <c r="G12" s="21"/>
      <c r="H12" s="206">
        <f t="shared" si="7"/>
        <v>45697</v>
      </c>
      <c r="I12" s="32">
        <f t="shared" si="4"/>
        <v>1</v>
      </c>
      <c r="J12" s="203">
        <v>1</v>
      </c>
      <c r="K12" s="203">
        <v>0.25</v>
      </c>
      <c r="L12" s="203">
        <v>0</v>
      </c>
      <c r="M12" s="209">
        <f t="shared" si="1"/>
        <v>0.75</v>
      </c>
      <c r="N12" s="21"/>
      <c r="O12" s="569">
        <f t="shared" si="8"/>
        <v>45725</v>
      </c>
      <c r="P12" s="32">
        <f t="shared" si="5"/>
        <v>1</v>
      </c>
      <c r="Q12" s="200">
        <v>4</v>
      </c>
      <c r="R12" s="200">
        <v>1.5</v>
      </c>
      <c r="S12" s="200">
        <v>0</v>
      </c>
      <c r="T12" s="568">
        <f t="shared" si="2"/>
        <v>2.5</v>
      </c>
      <c r="W12" s="329"/>
      <c r="X12" s="325"/>
      <c r="Y12" s="325"/>
      <c r="Z12" s="328"/>
      <c r="AA12"/>
      <c r="AC12" s="33" t="s">
        <v>193</v>
      </c>
      <c r="AD12" s="27">
        <f>SUM(Q74:Q103)</f>
        <v>161</v>
      </c>
      <c r="AE12" s="27">
        <f>SUM(R74:R103)</f>
        <v>44.5</v>
      </c>
      <c r="AF12" s="27">
        <f>SUM(S74:S103)</f>
        <v>5</v>
      </c>
      <c r="AG12" s="27">
        <f>SUM(T74:T103)</f>
        <v>111.5</v>
      </c>
      <c r="AH12" s="34">
        <f>COUNTIF(Q74:Q103,"&gt;0")</f>
        <v>26</v>
      </c>
    </row>
    <row r="13" spans="1:34" s="27" customFormat="1" ht="15" customHeight="1" thickBot="1" x14ac:dyDescent="0.25">
      <c r="A13" s="31">
        <f t="shared" si="6"/>
        <v>45667</v>
      </c>
      <c r="B13" s="32">
        <f t="shared" si="3"/>
        <v>6</v>
      </c>
      <c r="C13" s="200">
        <v>11</v>
      </c>
      <c r="D13" s="200">
        <v>2.5</v>
      </c>
      <c r="E13" s="200">
        <v>0.75</v>
      </c>
      <c r="F13" s="26">
        <f t="shared" si="0"/>
        <v>7.75</v>
      </c>
      <c r="G13" s="21"/>
      <c r="H13" s="206">
        <f t="shared" si="7"/>
        <v>45698</v>
      </c>
      <c r="I13" s="32">
        <f t="shared" si="4"/>
        <v>2</v>
      </c>
      <c r="J13" s="203">
        <v>12</v>
      </c>
      <c r="K13" s="203">
        <v>4.5</v>
      </c>
      <c r="L13" s="203">
        <v>0</v>
      </c>
      <c r="M13" s="209">
        <f t="shared" si="1"/>
        <v>7.5</v>
      </c>
      <c r="N13" s="21"/>
      <c r="O13" s="569">
        <f t="shared" si="8"/>
        <v>45726</v>
      </c>
      <c r="P13" s="32">
        <f t="shared" si="5"/>
        <v>2</v>
      </c>
      <c r="Q13" s="200">
        <v>7</v>
      </c>
      <c r="R13" s="200">
        <v>1</v>
      </c>
      <c r="S13" s="200">
        <v>0</v>
      </c>
      <c r="T13" s="568">
        <f t="shared" si="2"/>
        <v>6</v>
      </c>
      <c r="W13" s="329"/>
      <c r="X13" s="325"/>
      <c r="Y13" s="325"/>
      <c r="Z13" s="328"/>
      <c r="AA13"/>
      <c r="AC13" s="33" t="s">
        <v>194</v>
      </c>
      <c r="AD13" s="27">
        <f>SUM(C109:C139)</f>
        <v>172.3</v>
      </c>
      <c r="AE13" s="27">
        <f>SUM(D109:D139)</f>
        <v>43.95</v>
      </c>
      <c r="AF13" s="27">
        <f>SUM(E109:E139)</f>
        <v>3.25</v>
      </c>
      <c r="AG13" s="27">
        <f>SUM(F109:F139)</f>
        <v>125.1</v>
      </c>
      <c r="AH13" s="34">
        <f>COUNTIF(C109:C139,"&gt;0")</f>
        <v>27</v>
      </c>
    </row>
    <row r="14" spans="1:34" s="27" customFormat="1" ht="15" customHeight="1" thickBot="1" x14ac:dyDescent="0.25">
      <c r="A14" s="31">
        <f t="shared" si="6"/>
        <v>45668</v>
      </c>
      <c r="B14" s="32">
        <f t="shared" si="3"/>
        <v>7</v>
      </c>
      <c r="C14" s="200">
        <v>4.5</v>
      </c>
      <c r="D14" s="200">
        <v>4.5</v>
      </c>
      <c r="E14" s="200">
        <v>0</v>
      </c>
      <c r="F14" s="26">
        <f t="shared" si="0"/>
        <v>0</v>
      </c>
      <c r="G14" s="21"/>
      <c r="H14" s="206">
        <f t="shared" si="7"/>
        <v>45699</v>
      </c>
      <c r="I14" s="32">
        <f t="shared" si="4"/>
        <v>3</v>
      </c>
      <c r="J14" s="203">
        <v>8</v>
      </c>
      <c r="K14" s="203">
        <v>0.75</v>
      </c>
      <c r="L14" s="203">
        <v>0</v>
      </c>
      <c r="M14" s="209">
        <f t="shared" si="1"/>
        <v>7.25</v>
      </c>
      <c r="N14" s="21"/>
      <c r="O14" s="569">
        <f t="shared" si="8"/>
        <v>45727</v>
      </c>
      <c r="P14" s="32">
        <f t="shared" si="5"/>
        <v>3</v>
      </c>
      <c r="Q14" s="200">
        <v>6</v>
      </c>
      <c r="R14" s="200">
        <v>2.75</v>
      </c>
      <c r="S14" s="200">
        <v>0</v>
      </c>
      <c r="T14" s="568">
        <f t="shared" si="2"/>
        <v>3.25</v>
      </c>
      <c r="W14" s="337" t="s">
        <v>74</v>
      </c>
      <c r="X14" s="338" t="s">
        <v>75</v>
      </c>
      <c r="Y14" s="338" t="s">
        <v>76</v>
      </c>
      <c r="Z14" s="353" t="s">
        <v>100</v>
      </c>
      <c r="AA14"/>
      <c r="AC14" s="33" t="s">
        <v>195</v>
      </c>
      <c r="AD14" s="27">
        <f>SUM(J109:J138)</f>
        <v>106.75</v>
      </c>
      <c r="AE14" s="27">
        <f>SUM(K109:K138)</f>
        <v>28.75</v>
      </c>
      <c r="AF14" s="27">
        <f>SUM(L109:L138)</f>
        <v>4</v>
      </c>
      <c r="AG14" s="27" t="e">
        <f>SUM(M109:M138)</f>
        <v>#REF!</v>
      </c>
      <c r="AH14" s="34">
        <f>COUNTIF(J109:J138,"&gt;0")</f>
        <v>16</v>
      </c>
    </row>
    <row r="15" spans="1:34" s="27" customFormat="1" ht="15" customHeight="1" thickBot="1" x14ac:dyDescent="0.25">
      <c r="A15" s="31">
        <f t="shared" si="6"/>
        <v>45669</v>
      </c>
      <c r="B15" s="32">
        <f t="shared" si="3"/>
        <v>1</v>
      </c>
      <c r="C15" s="200">
        <v>4.5</v>
      </c>
      <c r="D15" s="200">
        <v>1</v>
      </c>
      <c r="E15" s="200">
        <v>2.5</v>
      </c>
      <c r="F15" s="26">
        <f t="shared" si="0"/>
        <v>1</v>
      </c>
      <c r="G15" s="21"/>
      <c r="H15" s="206">
        <f t="shared" si="7"/>
        <v>45700</v>
      </c>
      <c r="I15" s="32">
        <f t="shared" si="4"/>
        <v>4</v>
      </c>
      <c r="J15" s="203">
        <v>11.5</v>
      </c>
      <c r="K15" s="203">
        <v>1.5</v>
      </c>
      <c r="L15" s="203">
        <v>1</v>
      </c>
      <c r="M15" s="209">
        <f t="shared" si="1"/>
        <v>9</v>
      </c>
      <c r="N15" s="21"/>
      <c r="O15" s="569">
        <f t="shared" si="8"/>
        <v>45728</v>
      </c>
      <c r="P15" s="32">
        <f t="shared" si="5"/>
        <v>4</v>
      </c>
      <c r="Q15" s="200">
        <v>9.33</v>
      </c>
      <c r="R15" s="200">
        <v>3</v>
      </c>
      <c r="S15" s="200">
        <v>0</v>
      </c>
      <c r="T15" s="568">
        <f t="shared" si="2"/>
        <v>6.33</v>
      </c>
      <c r="W15" s="340" t="s">
        <v>3</v>
      </c>
      <c r="X15" s="341" t="s">
        <v>9</v>
      </c>
      <c r="Y15" s="341" t="s">
        <v>9</v>
      </c>
      <c r="Z15" s="354" t="s">
        <v>9</v>
      </c>
      <c r="AA15"/>
      <c r="AC15" s="35" t="s">
        <v>196</v>
      </c>
      <c r="AD15" s="36">
        <f>SUM(Q109:Q139)</f>
        <v>86.25</v>
      </c>
      <c r="AE15" s="36">
        <f>SUM(R109:R139)</f>
        <v>26.75</v>
      </c>
      <c r="AF15" s="36">
        <f>SUM(S109:S139)</f>
        <v>1.25</v>
      </c>
      <c r="AG15" s="36">
        <f>SUM(T109:T139)</f>
        <v>58.25</v>
      </c>
      <c r="AH15" s="37">
        <f>COUNTIF(Q109:Q139,"&gt;0")</f>
        <v>11</v>
      </c>
    </row>
    <row r="16" spans="1:34" s="27" customFormat="1" ht="15" customHeight="1" thickBot="1" x14ac:dyDescent="0.25">
      <c r="A16" s="31">
        <f t="shared" si="6"/>
        <v>45670</v>
      </c>
      <c r="B16" s="32">
        <f t="shared" si="3"/>
        <v>2</v>
      </c>
      <c r="C16" s="200">
        <v>8</v>
      </c>
      <c r="D16" s="200">
        <v>2</v>
      </c>
      <c r="E16" s="200">
        <v>1</v>
      </c>
      <c r="F16" s="26">
        <f t="shared" si="0"/>
        <v>5</v>
      </c>
      <c r="G16" s="21"/>
      <c r="H16" s="206">
        <f t="shared" si="7"/>
        <v>45701</v>
      </c>
      <c r="I16" s="32">
        <f t="shared" si="4"/>
        <v>5</v>
      </c>
      <c r="J16" s="203">
        <v>8</v>
      </c>
      <c r="K16" s="203">
        <v>2</v>
      </c>
      <c r="L16" s="203">
        <v>0</v>
      </c>
      <c r="M16" s="209">
        <f t="shared" si="1"/>
        <v>6</v>
      </c>
      <c r="N16" s="21"/>
      <c r="O16" s="569">
        <f t="shared" si="8"/>
        <v>45729</v>
      </c>
      <c r="P16" s="32">
        <f t="shared" si="5"/>
        <v>5</v>
      </c>
      <c r="Q16" s="200">
        <v>11</v>
      </c>
      <c r="R16" s="200">
        <v>1.75</v>
      </c>
      <c r="S16" s="200">
        <v>0</v>
      </c>
      <c r="T16" s="568">
        <f t="shared" si="2"/>
        <v>9.25</v>
      </c>
      <c r="W16" s="342">
        <f>IF(W7=0,0,W7/Z3)</f>
        <v>7.6111111111111107</v>
      </c>
      <c r="X16" s="343">
        <f>IF(X7=0,0,X7/Z3)</f>
        <v>1.9722222222222223</v>
      </c>
      <c r="Y16" s="343">
        <f>IF(Y7=0,0,Y7/Z3)</f>
        <v>0.31481481481481483</v>
      </c>
      <c r="Z16" s="355">
        <f>(W16)*(Z11)</f>
        <v>5.3240740740740735</v>
      </c>
      <c r="AA16"/>
    </row>
    <row r="17" spans="1:27" s="27" customFormat="1" ht="15" customHeight="1" thickBot="1" x14ac:dyDescent="0.25">
      <c r="A17" s="31">
        <f t="shared" si="6"/>
        <v>45671</v>
      </c>
      <c r="B17" s="32">
        <f t="shared" si="3"/>
        <v>3</v>
      </c>
      <c r="C17" s="200">
        <v>8</v>
      </c>
      <c r="D17" s="200">
        <v>1.5</v>
      </c>
      <c r="E17" s="200">
        <v>0.5</v>
      </c>
      <c r="F17" s="26">
        <f t="shared" si="0"/>
        <v>6</v>
      </c>
      <c r="G17" s="21"/>
      <c r="H17" s="206">
        <f t="shared" si="7"/>
        <v>45702</v>
      </c>
      <c r="I17" s="32">
        <f t="shared" si="4"/>
        <v>6</v>
      </c>
      <c r="J17" s="203">
        <v>7</v>
      </c>
      <c r="K17" s="203">
        <v>1</v>
      </c>
      <c r="L17" s="203">
        <v>0</v>
      </c>
      <c r="M17" s="209">
        <f t="shared" si="1"/>
        <v>6</v>
      </c>
      <c r="N17" s="21"/>
      <c r="O17" s="569">
        <f t="shared" si="8"/>
        <v>45730</v>
      </c>
      <c r="P17" s="32">
        <f t="shared" si="5"/>
        <v>6</v>
      </c>
      <c r="Q17" s="200">
        <v>7.5</v>
      </c>
      <c r="R17" s="200">
        <v>2.25</v>
      </c>
      <c r="S17" s="200">
        <v>0.75</v>
      </c>
      <c r="T17" s="568">
        <f t="shared" si="2"/>
        <v>4.5</v>
      </c>
      <c r="W17" s="329"/>
      <c r="X17" s="827" t="s">
        <v>19</v>
      </c>
      <c r="Y17" s="828"/>
      <c r="Z17" s="328"/>
      <c r="AA17"/>
    </row>
    <row r="18" spans="1:27" s="27" customFormat="1" ht="15" customHeight="1" thickBot="1" x14ac:dyDescent="0.25">
      <c r="A18" s="31">
        <f t="shared" si="6"/>
        <v>45672</v>
      </c>
      <c r="B18" s="32">
        <f t="shared" si="3"/>
        <v>4</v>
      </c>
      <c r="C18" s="200">
        <v>13.5</v>
      </c>
      <c r="D18" s="200">
        <v>4</v>
      </c>
      <c r="E18" s="200">
        <v>1.75</v>
      </c>
      <c r="F18" s="26">
        <f t="shared" si="0"/>
        <v>7.75</v>
      </c>
      <c r="G18" s="21"/>
      <c r="H18" s="206">
        <f t="shared" si="7"/>
        <v>45703</v>
      </c>
      <c r="I18" s="32">
        <f t="shared" si="4"/>
        <v>7</v>
      </c>
      <c r="J18" s="203">
        <v>0</v>
      </c>
      <c r="K18" s="203">
        <v>0</v>
      </c>
      <c r="L18" s="203">
        <v>0</v>
      </c>
      <c r="M18" s="209">
        <f t="shared" si="1"/>
        <v>0</v>
      </c>
      <c r="N18" s="21"/>
      <c r="O18" s="569">
        <f t="shared" si="8"/>
        <v>45731</v>
      </c>
      <c r="P18" s="32">
        <f t="shared" si="5"/>
        <v>7</v>
      </c>
      <c r="Q18" s="200">
        <v>5</v>
      </c>
      <c r="R18" s="200">
        <v>2</v>
      </c>
      <c r="S18" s="200">
        <v>0</v>
      </c>
      <c r="T18" s="568">
        <f t="shared" si="2"/>
        <v>3</v>
      </c>
      <c r="W18" s="344"/>
      <c r="X18" s="345">
        <f>IF(W7=0,0,(X7)/(Y7))</f>
        <v>6.2647058823529411</v>
      </c>
      <c r="Y18" s="346" t="s">
        <v>320</v>
      </c>
      <c r="Z18" s="328"/>
      <c r="AA18"/>
    </row>
    <row r="19" spans="1:27" s="27" customFormat="1" ht="15" customHeight="1" thickBot="1" x14ac:dyDescent="0.25">
      <c r="A19" s="31">
        <f t="shared" si="6"/>
        <v>45673</v>
      </c>
      <c r="B19" s="32">
        <f t="shared" si="3"/>
        <v>5</v>
      </c>
      <c r="C19" s="200">
        <v>13</v>
      </c>
      <c r="D19" s="200">
        <v>3.75</v>
      </c>
      <c r="E19" s="200">
        <v>1.5</v>
      </c>
      <c r="F19" s="26">
        <f t="shared" si="0"/>
        <v>7.75</v>
      </c>
      <c r="G19" s="21"/>
      <c r="H19" s="206">
        <f t="shared" si="7"/>
        <v>45704</v>
      </c>
      <c r="I19" s="32">
        <f t="shared" si="4"/>
        <v>1</v>
      </c>
      <c r="J19" s="203">
        <v>4</v>
      </c>
      <c r="K19" s="203">
        <v>0</v>
      </c>
      <c r="L19" s="203">
        <v>0</v>
      </c>
      <c r="M19" s="209">
        <f t="shared" si="1"/>
        <v>4</v>
      </c>
      <c r="N19" s="21"/>
      <c r="O19" s="569">
        <f t="shared" si="8"/>
        <v>45732</v>
      </c>
      <c r="P19" s="32">
        <f t="shared" si="5"/>
        <v>1</v>
      </c>
      <c r="Q19" s="200">
        <v>7</v>
      </c>
      <c r="R19" s="200">
        <v>2</v>
      </c>
      <c r="S19" s="200">
        <v>2</v>
      </c>
      <c r="T19" s="568">
        <f t="shared" si="2"/>
        <v>3</v>
      </c>
      <c r="W19" s="329"/>
      <c r="X19" s="325"/>
      <c r="Y19" s="325"/>
      <c r="Z19" s="328"/>
      <c r="AA19"/>
    </row>
    <row r="20" spans="1:27" s="27" customFormat="1" ht="15" customHeight="1" thickBot="1" x14ac:dyDescent="0.25">
      <c r="A20" s="31">
        <f t="shared" si="6"/>
        <v>45674</v>
      </c>
      <c r="B20" s="32">
        <f t="shared" si="3"/>
        <v>6</v>
      </c>
      <c r="C20" s="200">
        <v>8</v>
      </c>
      <c r="D20" s="200">
        <v>3.25</v>
      </c>
      <c r="E20" s="200">
        <v>0</v>
      </c>
      <c r="F20" s="26">
        <f t="shared" si="0"/>
        <v>4.75</v>
      </c>
      <c r="G20" s="21"/>
      <c r="H20" s="206">
        <f t="shared" si="7"/>
        <v>45705</v>
      </c>
      <c r="I20" s="32">
        <f t="shared" si="4"/>
        <v>2</v>
      </c>
      <c r="J20" s="203">
        <v>4</v>
      </c>
      <c r="K20" s="203">
        <v>0</v>
      </c>
      <c r="L20" s="203">
        <v>0</v>
      </c>
      <c r="M20" s="209">
        <f t="shared" si="1"/>
        <v>4</v>
      </c>
      <c r="N20" s="21"/>
      <c r="O20" s="569">
        <f t="shared" si="8"/>
        <v>45733</v>
      </c>
      <c r="P20" s="32">
        <f t="shared" si="5"/>
        <v>2</v>
      </c>
      <c r="Q20" s="200">
        <v>6</v>
      </c>
      <c r="R20" s="200">
        <v>1.5</v>
      </c>
      <c r="S20" s="200">
        <v>0</v>
      </c>
      <c r="T20" s="568">
        <f t="shared" si="2"/>
        <v>4.5</v>
      </c>
      <c r="W20" s="329"/>
      <c r="X20" s="325"/>
      <c r="Y20" s="829" t="s">
        <v>324</v>
      </c>
      <c r="Z20" s="328"/>
      <c r="AA20"/>
    </row>
    <row r="21" spans="1:27" s="27" customFormat="1" ht="15" customHeight="1" thickBot="1" x14ac:dyDescent="0.25">
      <c r="A21" s="31">
        <f t="shared" si="6"/>
        <v>45675</v>
      </c>
      <c r="B21" s="32">
        <f t="shared" si="3"/>
        <v>7</v>
      </c>
      <c r="C21" s="200">
        <v>4</v>
      </c>
      <c r="D21" s="200">
        <v>1</v>
      </c>
      <c r="E21" s="200">
        <v>0</v>
      </c>
      <c r="F21" s="26">
        <f t="shared" si="0"/>
        <v>3</v>
      </c>
      <c r="G21" s="21"/>
      <c r="H21" s="206">
        <f t="shared" si="7"/>
        <v>45706</v>
      </c>
      <c r="I21" s="32">
        <f t="shared" si="4"/>
        <v>3</v>
      </c>
      <c r="J21" s="203">
        <v>11</v>
      </c>
      <c r="K21" s="203">
        <v>2</v>
      </c>
      <c r="L21" s="203">
        <v>0</v>
      </c>
      <c r="M21" s="209">
        <f t="shared" si="1"/>
        <v>9</v>
      </c>
      <c r="N21" s="21"/>
      <c r="O21" s="569">
        <f t="shared" si="8"/>
        <v>45734</v>
      </c>
      <c r="P21" s="32">
        <f t="shared" si="5"/>
        <v>3</v>
      </c>
      <c r="Q21" s="200">
        <v>10</v>
      </c>
      <c r="R21" s="200">
        <v>2</v>
      </c>
      <c r="S21" s="200">
        <v>0</v>
      </c>
      <c r="T21" s="568">
        <f t="shared" si="2"/>
        <v>8</v>
      </c>
      <c r="W21" s="359"/>
      <c r="X21" s="409" t="str">
        <f>X3</f>
        <v>February</v>
      </c>
      <c r="Y21" s="829"/>
      <c r="Z21" s="391"/>
      <c r="AA21"/>
    </row>
    <row r="22" spans="1:27" s="27" customFormat="1" ht="15" customHeight="1" thickBot="1" x14ac:dyDescent="0.25">
      <c r="A22" s="31">
        <f t="shared" si="6"/>
        <v>45676</v>
      </c>
      <c r="B22" s="32">
        <f t="shared" si="3"/>
        <v>1</v>
      </c>
      <c r="C22" s="200">
        <v>7</v>
      </c>
      <c r="D22" s="200">
        <v>0.75</v>
      </c>
      <c r="E22" s="200">
        <v>4</v>
      </c>
      <c r="F22" s="26">
        <f t="shared" si="0"/>
        <v>2.25</v>
      </c>
      <c r="G22" s="21"/>
      <c r="H22" s="206">
        <f t="shared" si="7"/>
        <v>45707</v>
      </c>
      <c r="I22" s="32">
        <f t="shared" si="4"/>
        <v>4</v>
      </c>
      <c r="J22" s="203">
        <v>13</v>
      </c>
      <c r="K22" s="203">
        <v>6.5</v>
      </c>
      <c r="L22" s="203">
        <v>0</v>
      </c>
      <c r="M22" s="209">
        <f t="shared" si="1"/>
        <v>6.5</v>
      </c>
      <c r="N22" s="21"/>
      <c r="O22" s="569">
        <f t="shared" si="8"/>
        <v>45735</v>
      </c>
      <c r="P22" s="32">
        <f t="shared" si="5"/>
        <v>4</v>
      </c>
      <c r="Q22" s="200">
        <v>9</v>
      </c>
      <c r="R22" s="200">
        <v>3</v>
      </c>
      <c r="S22" s="200">
        <v>0.5</v>
      </c>
      <c r="T22" s="568">
        <f t="shared" si="2"/>
        <v>5.5</v>
      </c>
      <c r="W22" s="358" t="s">
        <v>323</v>
      </c>
      <c r="X22" s="356">
        <f>SUMIF('Business Tracker'!AA6:AA67,MONTH(DATEVALUE($X$3 &amp;" 1")),'Business Tracker'!AF6:AF67)</f>
        <v>10000.000000000002</v>
      </c>
      <c r="Y22" s="410">
        <f>SUMIF('Business Tracker'!T6:T67,MONTH(DATEVALUE($X$3 &amp;" 1"))+1,'Business Tracker'!W6:W67)</f>
        <v>0</v>
      </c>
      <c r="Z22" s="328"/>
      <c r="AA22"/>
    </row>
    <row r="23" spans="1:27" s="27" customFormat="1" ht="15" customHeight="1" thickBot="1" x14ac:dyDescent="0.25">
      <c r="A23" s="31">
        <f t="shared" si="6"/>
        <v>45677</v>
      </c>
      <c r="B23" s="32">
        <f t="shared" si="3"/>
        <v>2</v>
      </c>
      <c r="C23" s="200">
        <v>8</v>
      </c>
      <c r="D23" s="200">
        <v>0.5</v>
      </c>
      <c r="E23" s="200">
        <v>0</v>
      </c>
      <c r="F23" s="26">
        <f t="shared" si="0"/>
        <v>7.5</v>
      </c>
      <c r="G23" s="21"/>
      <c r="H23" s="206">
        <f t="shared" si="7"/>
        <v>45708</v>
      </c>
      <c r="I23" s="32">
        <f t="shared" si="4"/>
        <v>5</v>
      </c>
      <c r="J23" s="203">
        <v>8</v>
      </c>
      <c r="K23" s="203">
        <v>4.5</v>
      </c>
      <c r="L23" s="203">
        <v>0</v>
      </c>
      <c r="M23" s="209">
        <f t="shared" si="1"/>
        <v>3.5</v>
      </c>
      <c r="N23" s="21"/>
      <c r="O23" s="569">
        <f t="shared" si="8"/>
        <v>45736</v>
      </c>
      <c r="P23" s="32">
        <f t="shared" si="5"/>
        <v>5</v>
      </c>
      <c r="Q23" s="200">
        <v>11</v>
      </c>
      <c r="R23" s="200">
        <v>3</v>
      </c>
      <c r="S23" s="200">
        <v>1.5</v>
      </c>
      <c r="T23" s="568">
        <f t="shared" si="2"/>
        <v>6.5</v>
      </c>
      <c r="W23" s="344" t="s">
        <v>321</v>
      </c>
      <c r="X23" s="357">
        <f>IF(W7=0,0,X22/Y7)</f>
        <v>1176.4705882352944</v>
      </c>
      <c r="Y23" s="325"/>
      <c r="Z23" s="328"/>
      <c r="AA23"/>
    </row>
    <row r="24" spans="1:27" s="27" customFormat="1" ht="15" customHeight="1" thickBot="1" x14ac:dyDescent="0.25">
      <c r="A24" s="31">
        <f t="shared" si="6"/>
        <v>45678</v>
      </c>
      <c r="B24" s="32">
        <f t="shared" si="3"/>
        <v>3</v>
      </c>
      <c r="C24" s="200">
        <v>9</v>
      </c>
      <c r="D24" s="200">
        <v>1</v>
      </c>
      <c r="E24" s="200">
        <v>1</v>
      </c>
      <c r="F24" s="26">
        <f t="shared" si="0"/>
        <v>7</v>
      </c>
      <c r="G24" s="21"/>
      <c r="H24" s="206">
        <f t="shared" si="7"/>
        <v>45709</v>
      </c>
      <c r="I24" s="32">
        <f t="shared" si="4"/>
        <v>6</v>
      </c>
      <c r="J24" s="203">
        <v>12</v>
      </c>
      <c r="K24" s="203">
        <v>3.5</v>
      </c>
      <c r="L24" s="203">
        <v>0</v>
      </c>
      <c r="M24" s="209">
        <f t="shared" si="1"/>
        <v>8.5</v>
      </c>
      <c r="N24" s="21"/>
      <c r="O24" s="569">
        <f t="shared" si="8"/>
        <v>45737</v>
      </c>
      <c r="P24" s="32">
        <f t="shared" si="5"/>
        <v>6</v>
      </c>
      <c r="Q24" s="200">
        <v>11</v>
      </c>
      <c r="R24" s="200">
        <v>2</v>
      </c>
      <c r="S24" s="200">
        <v>2.25</v>
      </c>
      <c r="T24" s="568">
        <f t="shared" si="2"/>
        <v>6.75</v>
      </c>
      <c r="W24" s="361" t="s">
        <v>322</v>
      </c>
      <c r="X24" s="362">
        <f>IF(W7=0,0,X22/W7)</f>
        <v>48.661800486618013</v>
      </c>
      <c r="Y24" s="347"/>
      <c r="Z24" s="348"/>
      <c r="AA24"/>
    </row>
    <row r="25" spans="1:27" s="27" customFormat="1" ht="15" customHeight="1" thickBot="1" x14ac:dyDescent="0.25">
      <c r="A25" s="31">
        <f t="shared" si="6"/>
        <v>45679</v>
      </c>
      <c r="B25" s="32">
        <f t="shared" si="3"/>
        <v>4</v>
      </c>
      <c r="C25" s="200">
        <v>7</v>
      </c>
      <c r="D25" s="200">
        <v>1</v>
      </c>
      <c r="E25" s="200">
        <v>2.5</v>
      </c>
      <c r="F25" s="26">
        <f t="shared" si="0"/>
        <v>3.5</v>
      </c>
      <c r="G25" s="21"/>
      <c r="H25" s="206">
        <f t="shared" si="7"/>
        <v>45710</v>
      </c>
      <c r="I25" s="32">
        <f t="shared" si="4"/>
        <v>7</v>
      </c>
      <c r="J25" s="203">
        <v>3</v>
      </c>
      <c r="K25" s="203">
        <v>1.5</v>
      </c>
      <c r="L25" s="203">
        <v>0</v>
      </c>
      <c r="M25" s="209">
        <f t="shared" si="1"/>
        <v>1.5</v>
      </c>
      <c r="N25" s="21"/>
      <c r="O25" s="569">
        <f t="shared" si="8"/>
        <v>45738</v>
      </c>
      <c r="P25" s="32">
        <f t="shared" si="5"/>
        <v>7</v>
      </c>
      <c r="Q25" s="200">
        <v>4</v>
      </c>
      <c r="R25" s="200">
        <v>2</v>
      </c>
      <c r="S25" s="200">
        <v>0</v>
      </c>
      <c r="T25" s="568">
        <f t="shared" si="2"/>
        <v>2</v>
      </c>
      <c r="W25" s="325"/>
      <c r="X25" s="325"/>
      <c r="Y25" s="325"/>
      <c r="Z25" s="325"/>
      <c r="AA25"/>
    </row>
    <row r="26" spans="1:27" s="27" customFormat="1" ht="15" customHeight="1" thickBot="1" x14ac:dyDescent="0.25">
      <c r="A26" s="31">
        <f t="shared" si="6"/>
        <v>45680</v>
      </c>
      <c r="B26" s="32">
        <f t="shared" si="3"/>
        <v>5</v>
      </c>
      <c r="C26" s="200">
        <v>5.5</v>
      </c>
      <c r="D26" s="200">
        <v>0.5</v>
      </c>
      <c r="E26" s="200">
        <v>0.5</v>
      </c>
      <c r="F26" s="26">
        <f t="shared" si="0"/>
        <v>4.5</v>
      </c>
      <c r="G26" s="21"/>
      <c r="H26" s="206">
        <f t="shared" si="7"/>
        <v>45711</v>
      </c>
      <c r="I26" s="32">
        <f t="shared" si="4"/>
        <v>1</v>
      </c>
      <c r="J26" s="203">
        <v>1</v>
      </c>
      <c r="K26" s="203">
        <v>0</v>
      </c>
      <c r="L26" s="203">
        <v>0</v>
      </c>
      <c r="M26" s="209">
        <f t="shared" si="1"/>
        <v>1</v>
      </c>
      <c r="N26" s="21"/>
      <c r="O26" s="569">
        <f t="shared" si="8"/>
        <v>45739</v>
      </c>
      <c r="P26" s="32">
        <f t="shared" si="5"/>
        <v>1</v>
      </c>
      <c r="Q26" s="200">
        <v>6</v>
      </c>
      <c r="R26" s="200">
        <v>2</v>
      </c>
      <c r="S26" s="200">
        <v>2</v>
      </c>
      <c r="T26" s="568">
        <f t="shared" si="2"/>
        <v>2</v>
      </c>
      <c r="W26"/>
      <c r="X26"/>
      <c r="Y26"/>
      <c r="Z26"/>
      <c r="AA26"/>
    </row>
    <row r="27" spans="1:27" s="27" customFormat="1" ht="15" customHeight="1" thickBot="1" x14ac:dyDescent="0.25">
      <c r="A27" s="31">
        <f t="shared" si="6"/>
        <v>45681</v>
      </c>
      <c r="B27" s="32">
        <f t="shared" si="3"/>
        <v>6</v>
      </c>
      <c r="C27" s="200">
        <v>6</v>
      </c>
      <c r="D27" s="200">
        <v>1.5</v>
      </c>
      <c r="E27" s="200">
        <v>0</v>
      </c>
      <c r="F27" s="26">
        <f t="shared" si="0"/>
        <v>4.5</v>
      </c>
      <c r="G27" s="21"/>
      <c r="H27" s="206">
        <f t="shared" si="7"/>
        <v>45712</v>
      </c>
      <c r="I27" s="32">
        <f t="shared" si="4"/>
        <v>2</v>
      </c>
      <c r="J27" s="203">
        <v>8</v>
      </c>
      <c r="K27" s="203">
        <v>2</v>
      </c>
      <c r="L27" s="203">
        <v>0</v>
      </c>
      <c r="M27" s="209">
        <f t="shared" si="1"/>
        <v>6</v>
      </c>
      <c r="N27" s="21"/>
      <c r="O27" s="569">
        <f t="shared" si="8"/>
        <v>45740</v>
      </c>
      <c r="P27" s="32">
        <f t="shared" si="5"/>
        <v>2</v>
      </c>
      <c r="Q27" s="200">
        <v>6</v>
      </c>
      <c r="R27" s="200">
        <v>2</v>
      </c>
      <c r="S27" s="200">
        <v>0.5</v>
      </c>
      <c r="T27" s="568">
        <f t="shared" si="2"/>
        <v>3.5</v>
      </c>
      <c r="W27"/>
      <c r="X27"/>
      <c r="Y27"/>
      <c r="Z27"/>
      <c r="AA27"/>
    </row>
    <row r="28" spans="1:27" s="27" customFormat="1" ht="15" customHeight="1" thickBot="1" x14ac:dyDescent="0.25">
      <c r="A28" s="31">
        <f t="shared" si="6"/>
        <v>45682</v>
      </c>
      <c r="B28" s="32">
        <f t="shared" si="3"/>
        <v>7</v>
      </c>
      <c r="C28" s="200">
        <v>3</v>
      </c>
      <c r="D28" s="200">
        <v>2</v>
      </c>
      <c r="E28" s="200">
        <v>1</v>
      </c>
      <c r="F28" s="26">
        <f t="shared" si="0"/>
        <v>0</v>
      </c>
      <c r="G28" s="21"/>
      <c r="H28" s="206">
        <f t="shared" si="7"/>
        <v>45713</v>
      </c>
      <c r="I28" s="32">
        <f t="shared" si="4"/>
        <v>3</v>
      </c>
      <c r="J28" s="203">
        <v>8</v>
      </c>
      <c r="K28" s="203">
        <v>2.5</v>
      </c>
      <c r="L28" s="203">
        <v>0</v>
      </c>
      <c r="M28" s="209">
        <f t="shared" si="1"/>
        <v>5.5</v>
      </c>
      <c r="N28" s="21"/>
      <c r="O28" s="569">
        <f t="shared" si="8"/>
        <v>45741</v>
      </c>
      <c r="P28" s="32">
        <f t="shared" si="5"/>
        <v>3</v>
      </c>
      <c r="Q28" s="200">
        <v>6</v>
      </c>
      <c r="R28" s="200">
        <v>2</v>
      </c>
      <c r="S28" s="200">
        <v>2.5</v>
      </c>
      <c r="T28" s="568">
        <f t="shared" si="2"/>
        <v>1.5</v>
      </c>
      <c r="W28"/>
      <c r="X28"/>
      <c r="Y28"/>
      <c r="Z28"/>
    </row>
    <row r="29" spans="1:27" s="27" customFormat="1" ht="15" customHeight="1" thickBot="1" x14ac:dyDescent="0.25">
      <c r="A29" s="31">
        <f t="shared" si="6"/>
        <v>45683</v>
      </c>
      <c r="B29" s="32">
        <f t="shared" si="3"/>
        <v>1</v>
      </c>
      <c r="C29" s="200">
        <v>7</v>
      </c>
      <c r="D29" s="200">
        <v>1.5</v>
      </c>
      <c r="E29" s="200">
        <v>0</v>
      </c>
      <c r="F29" s="26">
        <f t="shared" si="0"/>
        <v>5.5</v>
      </c>
      <c r="G29" s="21"/>
      <c r="H29" s="206">
        <f t="shared" si="7"/>
        <v>45714</v>
      </c>
      <c r="I29" s="32">
        <f t="shared" si="4"/>
        <v>4</v>
      </c>
      <c r="J29" s="203">
        <v>7</v>
      </c>
      <c r="K29" s="203">
        <v>1.5</v>
      </c>
      <c r="L29" s="203">
        <v>0</v>
      </c>
      <c r="M29" s="209">
        <f t="shared" si="1"/>
        <v>5.5</v>
      </c>
      <c r="N29" s="21"/>
      <c r="O29" s="569">
        <f t="shared" si="8"/>
        <v>45742</v>
      </c>
      <c r="P29" s="32">
        <f t="shared" si="5"/>
        <v>4</v>
      </c>
      <c r="Q29" s="200">
        <v>13</v>
      </c>
      <c r="R29" s="200">
        <v>2.5</v>
      </c>
      <c r="S29" s="200">
        <v>5.5</v>
      </c>
      <c r="T29" s="568">
        <f t="shared" si="2"/>
        <v>5</v>
      </c>
      <c r="W29"/>
      <c r="X29"/>
      <c r="Y29"/>
      <c r="Z29"/>
    </row>
    <row r="30" spans="1:27" s="27" customFormat="1" ht="15" customHeight="1" thickBot="1" x14ac:dyDescent="0.25">
      <c r="A30" s="31">
        <f t="shared" si="6"/>
        <v>45684</v>
      </c>
      <c r="B30" s="32">
        <f t="shared" si="3"/>
        <v>2</v>
      </c>
      <c r="C30" s="200">
        <v>6</v>
      </c>
      <c r="D30" s="200">
        <v>2</v>
      </c>
      <c r="E30" s="200">
        <v>0.5</v>
      </c>
      <c r="F30" s="26">
        <f t="shared" si="0"/>
        <v>3.5</v>
      </c>
      <c r="G30" s="21"/>
      <c r="H30" s="206">
        <f t="shared" si="7"/>
        <v>45715</v>
      </c>
      <c r="I30" s="32">
        <f t="shared" si="4"/>
        <v>5</v>
      </c>
      <c r="J30" s="203">
        <v>10</v>
      </c>
      <c r="K30" s="203">
        <v>2.5</v>
      </c>
      <c r="L30" s="203">
        <v>0</v>
      </c>
      <c r="M30" s="209">
        <f t="shared" si="1"/>
        <v>7.5</v>
      </c>
      <c r="N30" s="21"/>
      <c r="O30" s="569">
        <f t="shared" si="8"/>
        <v>45743</v>
      </c>
      <c r="P30" s="32">
        <f t="shared" si="5"/>
        <v>5</v>
      </c>
      <c r="Q30" s="200">
        <v>11</v>
      </c>
      <c r="R30" s="200">
        <v>4.5</v>
      </c>
      <c r="S30" s="200">
        <v>0</v>
      </c>
      <c r="T30" s="568">
        <f t="shared" si="2"/>
        <v>6.5</v>
      </c>
    </row>
    <row r="31" spans="1:27" s="27" customFormat="1" ht="15" customHeight="1" thickBot="1" x14ac:dyDescent="0.25">
      <c r="A31" s="31">
        <f t="shared" si="6"/>
        <v>45685</v>
      </c>
      <c r="B31" s="32">
        <f t="shared" si="3"/>
        <v>3</v>
      </c>
      <c r="C31" s="200">
        <v>9.5</v>
      </c>
      <c r="D31" s="200">
        <v>2</v>
      </c>
      <c r="E31" s="200">
        <v>0.75</v>
      </c>
      <c r="F31" s="26">
        <f t="shared" si="0"/>
        <v>6.75</v>
      </c>
      <c r="G31" s="21"/>
      <c r="H31" s="206">
        <f t="shared" si="7"/>
        <v>45716</v>
      </c>
      <c r="I31" s="32">
        <f t="shared" si="4"/>
        <v>6</v>
      </c>
      <c r="J31" s="203">
        <v>7</v>
      </c>
      <c r="K31" s="203">
        <v>1</v>
      </c>
      <c r="L31" s="203">
        <v>2</v>
      </c>
      <c r="M31" s="209">
        <f t="shared" si="1"/>
        <v>4</v>
      </c>
      <c r="N31" s="21"/>
      <c r="O31" s="569">
        <f t="shared" si="8"/>
        <v>45744</v>
      </c>
      <c r="P31" s="32">
        <f t="shared" si="5"/>
        <v>6</v>
      </c>
      <c r="Q31" s="200">
        <v>5</v>
      </c>
      <c r="R31" s="200">
        <v>2.5</v>
      </c>
      <c r="S31" s="200">
        <v>0.5</v>
      </c>
      <c r="T31" s="568">
        <f t="shared" si="2"/>
        <v>2</v>
      </c>
    </row>
    <row r="32" spans="1:27" s="27" customFormat="1" ht="15" customHeight="1" thickBot="1" x14ac:dyDescent="0.25">
      <c r="A32" s="31">
        <f t="shared" si="6"/>
        <v>45686</v>
      </c>
      <c r="B32" s="32">
        <f t="shared" si="3"/>
        <v>4</v>
      </c>
      <c r="C32" s="200">
        <v>8.25</v>
      </c>
      <c r="D32" s="200">
        <v>2</v>
      </c>
      <c r="E32" s="200">
        <v>0</v>
      </c>
      <c r="F32" s="26">
        <f t="shared" si="0"/>
        <v>6.25</v>
      </c>
      <c r="G32" s="21"/>
      <c r="H32" s="206"/>
      <c r="I32" s="32" t="str">
        <f t="shared" si="4"/>
        <v/>
      </c>
      <c r="J32" s="742"/>
      <c r="K32" s="742"/>
      <c r="L32" s="742"/>
      <c r="M32" s="209" t="str">
        <f t="shared" si="1"/>
        <v xml:space="preserve"> </v>
      </c>
      <c r="N32" s="21"/>
      <c r="O32" s="569">
        <f t="shared" si="8"/>
        <v>45745</v>
      </c>
      <c r="P32" s="32">
        <f t="shared" si="5"/>
        <v>7</v>
      </c>
      <c r="Q32" s="200">
        <v>7</v>
      </c>
      <c r="R32" s="200">
        <v>3.5</v>
      </c>
      <c r="S32" s="200">
        <v>0</v>
      </c>
      <c r="T32" s="568">
        <f t="shared" si="2"/>
        <v>3.5</v>
      </c>
    </row>
    <row r="33" spans="1:26" s="27" customFormat="1" ht="15" customHeight="1" thickBot="1" x14ac:dyDescent="0.25">
      <c r="A33" s="31">
        <f t="shared" si="6"/>
        <v>45687</v>
      </c>
      <c r="B33" s="32">
        <f t="shared" si="3"/>
        <v>5</v>
      </c>
      <c r="C33" s="200">
        <v>10</v>
      </c>
      <c r="D33" s="200">
        <v>1.5</v>
      </c>
      <c r="E33" s="200">
        <v>0.5</v>
      </c>
      <c r="F33" s="26">
        <f t="shared" si="0"/>
        <v>8</v>
      </c>
      <c r="G33" s="21"/>
      <c r="H33" s="206"/>
      <c r="I33" s="32"/>
      <c r="J33" s="742"/>
      <c r="K33" s="742"/>
      <c r="L33" s="742"/>
      <c r="M33" s="209"/>
      <c r="N33" s="21"/>
      <c r="O33" s="569">
        <f t="shared" si="8"/>
        <v>45746</v>
      </c>
      <c r="P33" s="32">
        <f t="shared" si="5"/>
        <v>1</v>
      </c>
      <c r="Q33" s="200">
        <v>0</v>
      </c>
      <c r="R33" s="200">
        <v>0</v>
      </c>
      <c r="S33" s="200">
        <v>0</v>
      </c>
      <c r="T33" s="568">
        <f t="shared" si="2"/>
        <v>0</v>
      </c>
    </row>
    <row r="34" spans="1:26" s="27" customFormat="1" ht="15" customHeight="1" thickBot="1" x14ac:dyDescent="0.25">
      <c r="A34" s="39">
        <f t="shared" si="6"/>
        <v>45688</v>
      </c>
      <c r="B34" s="40">
        <f t="shared" si="3"/>
        <v>6</v>
      </c>
      <c r="C34" s="201">
        <v>7</v>
      </c>
      <c r="D34" s="201">
        <v>1</v>
      </c>
      <c r="E34" s="201">
        <v>0</v>
      </c>
      <c r="F34" s="41">
        <f t="shared" si="0"/>
        <v>6</v>
      </c>
      <c r="G34" s="21"/>
      <c r="H34" s="207"/>
      <c r="I34" s="208"/>
      <c r="J34" s="743"/>
      <c r="K34" s="743"/>
      <c r="L34" s="743"/>
      <c r="M34" s="210"/>
      <c r="N34" s="21"/>
      <c r="O34" s="570">
        <f t="shared" si="8"/>
        <v>45747</v>
      </c>
      <c r="P34" s="208">
        <f t="shared" si="5"/>
        <v>2</v>
      </c>
      <c r="Q34" s="741">
        <v>11</v>
      </c>
      <c r="R34" s="741">
        <v>3</v>
      </c>
      <c r="S34" s="741">
        <v>0</v>
      </c>
      <c r="T34" s="571">
        <f t="shared" si="2"/>
        <v>8</v>
      </c>
      <c r="V34" s="21"/>
      <c r="W34" s="21"/>
      <c r="X34" s="21"/>
      <c r="Y34" s="21"/>
      <c r="Z34" s="21"/>
    </row>
    <row r="35" spans="1:26" ht="17" thickTop="1" x14ac:dyDescent="0.2">
      <c r="F35" s="42"/>
    </row>
    <row r="36" spans="1:26" ht="17" thickBot="1" x14ac:dyDescent="0.25">
      <c r="C36" s="38"/>
      <c r="D36" s="38"/>
      <c r="E36" s="38"/>
      <c r="F36" s="38"/>
      <c r="J36" s="38"/>
      <c r="K36" s="38"/>
      <c r="L36" s="38"/>
      <c r="M36" s="38"/>
      <c r="Q36" s="38"/>
      <c r="R36" s="38"/>
      <c r="S36" s="38"/>
      <c r="T36" s="38"/>
      <c r="W36" s="38"/>
      <c r="X36" s="38"/>
      <c r="Y36" s="38"/>
      <c r="Z36" s="38"/>
    </row>
    <row r="37" spans="1:26" ht="23" thickTop="1" thickBot="1" x14ac:dyDescent="0.3">
      <c r="A37" s="821" t="s">
        <v>189</v>
      </c>
      <c r="B37" s="822"/>
      <c r="C37" s="822"/>
      <c r="D37" s="822"/>
      <c r="E37" s="822"/>
      <c r="F37" s="823"/>
      <c r="H37" s="824" t="s">
        <v>20</v>
      </c>
      <c r="I37" s="825"/>
      <c r="J37" s="825"/>
      <c r="K37" s="825"/>
      <c r="L37" s="825"/>
      <c r="M37" s="826"/>
      <c r="O37" s="821" t="s">
        <v>190</v>
      </c>
      <c r="P37" s="822"/>
      <c r="Q37" s="822"/>
      <c r="R37" s="822"/>
      <c r="S37" s="822"/>
      <c r="T37" s="823"/>
    </row>
    <row r="38" spans="1:26" ht="19.5" customHeight="1" thickBot="1" x14ac:dyDescent="0.25">
      <c r="A38" s="205" t="s">
        <v>4</v>
      </c>
      <c r="B38" s="25" t="s">
        <v>69</v>
      </c>
      <c r="C38" s="202" t="s">
        <v>0</v>
      </c>
      <c r="D38" s="202" t="s">
        <v>1</v>
      </c>
      <c r="E38" s="202" t="s">
        <v>2</v>
      </c>
      <c r="F38" s="209" t="s">
        <v>97</v>
      </c>
      <c r="H38" s="24" t="s">
        <v>4</v>
      </c>
      <c r="I38" s="25" t="s">
        <v>69</v>
      </c>
      <c r="J38" s="199" t="s">
        <v>0</v>
      </c>
      <c r="K38" s="199" t="s">
        <v>1</v>
      </c>
      <c r="L38" s="199" t="s">
        <v>2</v>
      </c>
      <c r="M38" s="26" t="s">
        <v>97</v>
      </c>
      <c r="O38" s="205" t="s">
        <v>4</v>
      </c>
      <c r="P38" s="25" t="s">
        <v>69</v>
      </c>
      <c r="Q38" s="203" t="s">
        <v>0</v>
      </c>
      <c r="R38" s="202" t="s">
        <v>1</v>
      </c>
      <c r="S38" s="202" t="s">
        <v>2</v>
      </c>
      <c r="T38" s="209" t="s">
        <v>97</v>
      </c>
    </row>
    <row r="39" spans="1:26" ht="15" customHeight="1" thickBot="1" x14ac:dyDescent="0.25">
      <c r="A39" s="206">
        <f>DATEVALUE(CONCATENATE("4/1/",Budget!$A$1))</f>
        <v>45748</v>
      </c>
      <c r="B39" s="32">
        <f>IF(A39&lt;&gt;"",WEEKDAY(A39,1),"")</f>
        <v>3</v>
      </c>
      <c r="C39" s="203">
        <v>2</v>
      </c>
      <c r="D39" s="203">
        <v>0.75</v>
      </c>
      <c r="E39" s="203">
        <v>0</v>
      </c>
      <c r="F39" s="209">
        <f t="shared" ref="F39:F68" si="9">IF(C39="", " ",C39-D39-E39)</f>
        <v>1.25</v>
      </c>
      <c r="H39" s="31">
        <f>DATEVALUE(CONCATENATE("5/1/",Budget!$A$1))</f>
        <v>45778</v>
      </c>
      <c r="I39" s="32">
        <f>IF(H39&lt;&gt;"",WEEKDAY(H39,1),"")</f>
        <v>5</v>
      </c>
      <c r="J39" s="200">
        <v>8</v>
      </c>
      <c r="K39" s="200">
        <v>3</v>
      </c>
      <c r="L39" s="200">
        <v>0</v>
      </c>
      <c r="M39" s="26">
        <f t="shared" ref="M39:M69" si="10">IF(J39="", " ",J39-K39-L39)</f>
        <v>5</v>
      </c>
      <c r="O39" s="206">
        <f>DATEVALUE(CONCATENATE("6/1/",Budget!$A$1))</f>
        <v>45809</v>
      </c>
      <c r="P39" s="32">
        <f>IF(O39&lt;&gt;"",WEEKDAY(O39,1),"")</f>
        <v>1</v>
      </c>
      <c r="Q39" s="203">
        <v>4</v>
      </c>
      <c r="R39" s="203">
        <v>2</v>
      </c>
      <c r="S39" s="203">
        <v>0</v>
      </c>
      <c r="T39" s="209">
        <f t="shared" ref="T39:T68" si="11">IF(Q39="", " ",Q39-R39-S39)</f>
        <v>2</v>
      </c>
    </row>
    <row r="40" spans="1:26" ht="15" customHeight="1" thickBot="1" x14ac:dyDescent="0.25">
      <c r="A40" s="206">
        <f>A39+1</f>
        <v>45749</v>
      </c>
      <c r="B40" s="32">
        <f t="shared" ref="B40:B68" si="12">IF(A40&lt;&gt;"",WEEKDAY(A40,1),"")</f>
        <v>4</v>
      </c>
      <c r="C40" s="203">
        <v>8</v>
      </c>
      <c r="D40" s="203">
        <v>3</v>
      </c>
      <c r="E40" s="203">
        <v>0</v>
      </c>
      <c r="F40" s="209">
        <f t="shared" si="9"/>
        <v>5</v>
      </c>
      <c r="H40" s="31">
        <f>H39+1</f>
        <v>45779</v>
      </c>
      <c r="I40" s="32">
        <f t="shared" ref="I40:I69" si="13">IF(H40&lt;&gt;"",WEEKDAY(H40,1),"")</f>
        <v>6</v>
      </c>
      <c r="J40" s="200">
        <v>10</v>
      </c>
      <c r="K40" s="200">
        <v>2</v>
      </c>
      <c r="L40" s="200">
        <v>0</v>
      </c>
      <c r="M40" s="26">
        <f t="shared" si="10"/>
        <v>8</v>
      </c>
      <c r="O40" s="206">
        <f>O39+1</f>
        <v>45810</v>
      </c>
      <c r="P40" s="32">
        <f t="shared" ref="P40:P68" si="14">IF(O40&lt;&gt;"",WEEKDAY(O40,1),"")</f>
        <v>2</v>
      </c>
      <c r="Q40" s="203">
        <v>6</v>
      </c>
      <c r="R40" s="203">
        <v>1.5</v>
      </c>
      <c r="S40" s="203">
        <v>0</v>
      </c>
      <c r="T40" s="209">
        <f t="shared" si="11"/>
        <v>4.5</v>
      </c>
    </row>
    <row r="41" spans="1:26" ht="15" customHeight="1" thickBot="1" x14ac:dyDescent="0.25">
      <c r="A41" s="206">
        <f t="shared" ref="A41:A68" si="15">A40+1</f>
        <v>45750</v>
      </c>
      <c r="B41" s="32">
        <f t="shared" si="12"/>
        <v>5</v>
      </c>
      <c r="C41" s="203">
        <v>8.5</v>
      </c>
      <c r="D41" s="203">
        <v>2.5</v>
      </c>
      <c r="E41" s="203">
        <v>0</v>
      </c>
      <c r="F41" s="209">
        <f t="shared" si="9"/>
        <v>6</v>
      </c>
      <c r="H41" s="31">
        <f t="shared" ref="H41:H69" si="16">H40+1</f>
        <v>45780</v>
      </c>
      <c r="I41" s="32">
        <f t="shared" si="13"/>
        <v>7</v>
      </c>
      <c r="J41" s="200">
        <v>1</v>
      </c>
      <c r="K41" s="200">
        <v>1</v>
      </c>
      <c r="L41" s="200">
        <v>0</v>
      </c>
      <c r="M41" s="26">
        <f t="shared" si="10"/>
        <v>0</v>
      </c>
      <c r="O41" s="206">
        <f t="shared" ref="O41:O68" si="17">O40+1</f>
        <v>45811</v>
      </c>
      <c r="P41" s="32">
        <f t="shared" si="14"/>
        <v>3</v>
      </c>
      <c r="Q41" s="203">
        <v>8</v>
      </c>
      <c r="R41" s="203">
        <v>2.5</v>
      </c>
      <c r="S41" s="203">
        <v>0</v>
      </c>
      <c r="T41" s="209">
        <f t="shared" si="11"/>
        <v>5.5</v>
      </c>
    </row>
    <row r="42" spans="1:26" ht="15" customHeight="1" thickBot="1" x14ac:dyDescent="0.25">
      <c r="A42" s="206">
        <f t="shared" si="15"/>
        <v>45751</v>
      </c>
      <c r="B42" s="32">
        <f t="shared" si="12"/>
        <v>6</v>
      </c>
      <c r="C42" s="203">
        <v>7</v>
      </c>
      <c r="D42" s="203">
        <v>3</v>
      </c>
      <c r="E42" s="203">
        <v>0</v>
      </c>
      <c r="F42" s="209">
        <f t="shared" si="9"/>
        <v>4</v>
      </c>
      <c r="H42" s="31">
        <f t="shared" si="16"/>
        <v>45781</v>
      </c>
      <c r="I42" s="32">
        <f t="shared" si="13"/>
        <v>1</v>
      </c>
      <c r="J42" s="200">
        <v>0</v>
      </c>
      <c r="K42" s="200">
        <v>0</v>
      </c>
      <c r="L42" s="200">
        <v>0</v>
      </c>
      <c r="M42" s="26">
        <f t="shared" si="10"/>
        <v>0</v>
      </c>
      <c r="O42" s="206">
        <f t="shared" si="17"/>
        <v>45812</v>
      </c>
      <c r="P42" s="32">
        <f t="shared" si="14"/>
        <v>4</v>
      </c>
      <c r="Q42" s="203">
        <v>11</v>
      </c>
      <c r="R42" s="203">
        <v>4.5</v>
      </c>
      <c r="S42" s="203">
        <v>0</v>
      </c>
      <c r="T42" s="209">
        <f t="shared" si="11"/>
        <v>6.5</v>
      </c>
    </row>
    <row r="43" spans="1:26" ht="15" customHeight="1" thickBot="1" x14ac:dyDescent="0.25">
      <c r="A43" s="206">
        <f t="shared" si="15"/>
        <v>45752</v>
      </c>
      <c r="B43" s="32">
        <f t="shared" si="12"/>
        <v>7</v>
      </c>
      <c r="C43" s="203">
        <v>2</v>
      </c>
      <c r="D43" s="203">
        <v>2</v>
      </c>
      <c r="E43" s="203">
        <v>0</v>
      </c>
      <c r="F43" s="209">
        <f t="shared" si="9"/>
        <v>0</v>
      </c>
      <c r="H43" s="31">
        <f t="shared" si="16"/>
        <v>45782</v>
      </c>
      <c r="I43" s="32">
        <f t="shared" si="13"/>
        <v>2</v>
      </c>
      <c r="J43" s="200">
        <v>7.5</v>
      </c>
      <c r="K43" s="200">
        <v>2</v>
      </c>
      <c r="L43" s="200">
        <v>0</v>
      </c>
      <c r="M43" s="26">
        <f t="shared" si="10"/>
        <v>5.5</v>
      </c>
      <c r="O43" s="206">
        <f t="shared" si="17"/>
        <v>45813</v>
      </c>
      <c r="P43" s="32">
        <f t="shared" si="14"/>
        <v>5</v>
      </c>
      <c r="Q43" s="203">
        <v>10</v>
      </c>
      <c r="R43" s="203">
        <v>4</v>
      </c>
      <c r="S43" s="203">
        <v>0</v>
      </c>
      <c r="T43" s="209">
        <f t="shared" si="11"/>
        <v>6</v>
      </c>
    </row>
    <row r="44" spans="1:26" ht="15" customHeight="1" thickBot="1" x14ac:dyDescent="0.25">
      <c r="A44" s="206">
        <f t="shared" si="15"/>
        <v>45753</v>
      </c>
      <c r="B44" s="32">
        <f t="shared" si="12"/>
        <v>1</v>
      </c>
      <c r="C44" s="203">
        <v>1</v>
      </c>
      <c r="D44" s="203">
        <v>1</v>
      </c>
      <c r="E44" s="203">
        <v>0</v>
      </c>
      <c r="F44" s="209">
        <f t="shared" si="9"/>
        <v>0</v>
      </c>
      <c r="H44" s="31">
        <f t="shared" si="16"/>
        <v>45783</v>
      </c>
      <c r="I44" s="32">
        <f t="shared" si="13"/>
        <v>3</v>
      </c>
      <c r="J44" s="200">
        <v>7</v>
      </c>
      <c r="K44" s="200">
        <v>0.75</v>
      </c>
      <c r="L44" s="200">
        <v>0</v>
      </c>
      <c r="M44" s="26">
        <f t="shared" si="10"/>
        <v>6.25</v>
      </c>
      <c r="O44" s="206">
        <f t="shared" si="17"/>
        <v>45814</v>
      </c>
      <c r="P44" s="32">
        <f t="shared" si="14"/>
        <v>6</v>
      </c>
      <c r="Q44" s="203">
        <v>9</v>
      </c>
      <c r="R44" s="203">
        <v>1</v>
      </c>
      <c r="S44" s="203">
        <v>1.25</v>
      </c>
      <c r="T44" s="209">
        <f t="shared" si="11"/>
        <v>6.75</v>
      </c>
    </row>
    <row r="45" spans="1:26" ht="15" customHeight="1" thickBot="1" x14ac:dyDescent="0.25">
      <c r="A45" s="206">
        <f t="shared" si="15"/>
        <v>45754</v>
      </c>
      <c r="B45" s="32">
        <f t="shared" si="12"/>
        <v>2</v>
      </c>
      <c r="C45" s="203">
        <v>2</v>
      </c>
      <c r="D45" s="203">
        <v>2</v>
      </c>
      <c r="E45" s="203">
        <v>0</v>
      </c>
      <c r="F45" s="209">
        <f t="shared" si="9"/>
        <v>0</v>
      </c>
      <c r="H45" s="31">
        <f t="shared" si="16"/>
        <v>45784</v>
      </c>
      <c r="I45" s="32">
        <f t="shared" si="13"/>
        <v>4</v>
      </c>
      <c r="J45" s="200">
        <v>11</v>
      </c>
      <c r="K45" s="200">
        <v>4</v>
      </c>
      <c r="L45" s="200">
        <v>0.5</v>
      </c>
      <c r="M45" s="26">
        <f t="shared" si="10"/>
        <v>6.5</v>
      </c>
      <c r="O45" s="206">
        <f t="shared" si="17"/>
        <v>45815</v>
      </c>
      <c r="P45" s="32">
        <f t="shared" si="14"/>
        <v>7</v>
      </c>
      <c r="Q45" s="203">
        <v>2</v>
      </c>
      <c r="R45" s="203">
        <v>1</v>
      </c>
      <c r="S45" s="203">
        <v>0</v>
      </c>
      <c r="T45" s="209">
        <f t="shared" si="11"/>
        <v>1</v>
      </c>
    </row>
    <row r="46" spans="1:26" ht="15" customHeight="1" thickBot="1" x14ac:dyDescent="0.25">
      <c r="A46" s="206">
        <f t="shared" si="15"/>
        <v>45755</v>
      </c>
      <c r="B46" s="32">
        <f t="shared" si="12"/>
        <v>3</v>
      </c>
      <c r="C46" s="203">
        <v>5</v>
      </c>
      <c r="D46" s="203">
        <v>0.5</v>
      </c>
      <c r="E46" s="203">
        <v>0</v>
      </c>
      <c r="F46" s="209">
        <f t="shared" si="9"/>
        <v>4.5</v>
      </c>
      <c r="H46" s="31">
        <f t="shared" si="16"/>
        <v>45785</v>
      </c>
      <c r="I46" s="32">
        <f t="shared" si="13"/>
        <v>5</v>
      </c>
      <c r="J46" s="200">
        <v>12</v>
      </c>
      <c r="K46" s="200">
        <v>4.5</v>
      </c>
      <c r="L46" s="200">
        <v>0</v>
      </c>
      <c r="M46" s="26">
        <f t="shared" si="10"/>
        <v>7.5</v>
      </c>
      <c r="O46" s="206">
        <f t="shared" si="17"/>
        <v>45816</v>
      </c>
      <c r="P46" s="32">
        <f t="shared" si="14"/>
        <v>1</v>
      </c>
      <c r="Q46" s="203">
        <v>1</v>
      </c>
      <c r="R46" s="203">
        <v>0</v>
      </c>
      <c r="S46" s="203">
        <v>0</v>
      </c>
      <c r="T46" s="209">
        <f t="shared" si="11"/>
        <v>1</v>
      </c>
    </row>
    <row r="47" spans="1:26" ht="15" customHeight="1" thickBot="1" x14ac:dyDescent="0.25">
      <c r="A47" s="206">
        <f t="shared" si="15"/>
        <v>45756</v>
      </c>
      <c r="B47" s="32">
        <f t="shared" si="12"/>
        <v>4</v>
      </c>
      <c r="C47" s="203">
        <v>12</v>
      </c>
      <c r="D47" s="203">
        <v>2.25</v>
      </c>
      <c r="E47" s="203">
        <v>0.75</v>
      </c>
      <c r="F47" s="209">
        <f t="shared" si="9"/>
        <v>9</v>
      </c>
      <c r="H47" s="31">
        <f t="shared" si="16"/>
        <v>45786</v>
      </c>
      <c r="I47" s="32">
        <f t="shared" si="13"/>
        <v>6</v>
      </c>
      <c r="J47" s="200">
        <v>2</v>
      </c>
      <c r="K47" s="200">
        <v>1</v>
      </c>
      <c r="L47" s="200">
        <v>0</v>
      </c>
      <c r="M47" s="26">
        <f t="shared" si="10"/>
        <v>1</v>
      </c>
      <c r="O47" s="206">
        <f t="shared" si="17"/>
        <v>45817</v>
      </c>
      <c r="P47" s="32">
        <f t="shared" si="14"/>
        <v>2</v>
      </c>
      <c r="Q47" s="203">
        <v>8.5</v>
      </c>
      <c r="R47" s="203">
        <v>2.5</v>
      </c>
      <c r="S47" s="203">
        <v>1.5</v>
      </c>
      <c r="T47" s="209">
        <f t="shared" si="11"/>
        <v>4.5</v>
      </c>
    </row>
    <row r="48" spans="1:26" ht="15" customHeight="1" thickBot="1" x14ac:dyDescent="0.25">
      <c r="A48" s="206">
        <f t="shared" si="15"/>
        <v>45757</v>
      </c>
      <c r="B48" s="32">
        <f t="shared" si="12"/>
        <v>5</v>
      </c>
      <c r="C48" s="203">
        <v>9</v>
      </c>
      <c r="D48" s="203">
        <v>3.5</v>
      </c>
      <c r="E48" s="203">
        <v>0</v>
      </c>
      <c r="F48" s="209">
        <f t="shared" si="9"/>
        <v>5.5</v>
      </c>
      <c r="H48" s="31">
        <f t="shared" si="16"/>
        <v>45787</v>
      </c>
      <c r="I48" s="32">
        <f t="shared" si="13"/>
        <v>7</v>
      </c>
      <c r="J48" s="200">
        <v>1</v>
      </c>
      <c r="K48" s="200">
        <v>1</v>
      </c>
      <c r="L48" s="200">
        <v>0</v>
      </c>
      <c r="M48" s="26">
        <f t="shared" si="10"/>
        <v>0</v>
      </c>
      <c r="O48" s="206">
        <f t="shared" si="17"/>
        <v>45818</v>
      </c>
      <c r="P48" s="32">
        <f t="shared" si="14"/>
        <v>3</v>
      </c>
      <c r="Q48" s="203">
        <v>10</v>
      </c>
      <c r="R48" s="203">
        <v>3</v>
      </c>
      <c r="S48" s="203">
        <v>0.5</v>
      </c>
      <c r="T48" s="209">
        <f t="shared" si="11"/>
        <v>6.5</v>
      </c>
    </row>
    <row r="49" spans="1:20" ht="15" customHeight="1" thickBot="1" x14ac:dyDescent="0.25">
      <c r="A49" s="206">
        <f t="shared" si="15"/>
        <v>45758</v>
      </c>
      <c r="B49" s="32">
        <f t="shared" si="12"/>
        <v>6</v>
      </c>
      <c r="C49" s="203">
        <v>8</v>
      </c>
      <c r="D49" s="203">
        <v>2</v>
      </c>
      <c r="E49" s="203">
        <v>0</v>
      </c>
      <c r="F49" s="209">
        <f t="shared" si="9"/>
        <v>6</v>
      </c>
      <c r="H49" s="31">
        <f t="shared" si="16"/>
        <v>45788</v>
      </c>
      <c r="I49" s="32">
        <f t="shared" si="13"/>
        <v>1</v>
      </c>
      <c r="J49" s="200">
        <v>1</v>
      </c>
      <c r="K49" s="200">
        <v>1</v>
      </c>
      <c r="L49" s="200">
        <v>0</v>
      </c>
      <c r="M49" s="26">
        <f t="shared" si="10"/>
        <v>0</v>
      </c>
      <c r="O49" s="206">
        <f t="shared" si="17"/>
        <v>45819</v>
      </c>
      <c r="P49" s="32">
        <f t="shared" si="14"/>
        <v>4</v>
      </c>
      <c r="Q49" s="203">
        <v>7</v>
      </c>
      <c r="R49" s="203">
        <v>3.25</v>
      </c>
      <c r="S49" s="203">
        <v>0</v>
      </c>
      <c r="T49" s="209">
        <f t="shared" si="11"/>
        <v>3.75</v>
      </c>
    </row>
    <row r="50" spans="1:20" ht="15" customHeight="1" thickBot="1" x14ac:dyDescent="0.25">
      <c r="A50" s="206">
        <f t="shared" si="15"/>
        <v>45759</v>
      </c>
      <c r="B50" s="32">
        <f t="shared" si="12"/>
        <v>7</v>
      </c>
      <c r="C50" s="203">
        <v>2</v>
      </c>
      <c r="D50" s="203">
        <v>1</v>
      </c>
      <c r="E50" s="203">
        <v>0</v>
      </c>
      <c r="F50" s="209">
        <f t="shared" si="9"/>
        <v>1</v>
      </c>
      <c r="H50" s="31">
        <f t="shared" si="16"/>
        <v>45789</v>
      </c>
      <c r="I50" s="32">
        <f t="shared" si="13"/>
        <v>2</v>
      </c>
      <c r="J50" s="200">
        <v>2</v>
      </c>
      <c r="K50" s="200">
        <v>2</v>
      </c>
      <c r="L50" s="200">
        <v>0</v>
      </c>
      <c r="M50" s="26">
        <f t="shared" si="10"/>
        <v>0</v>
      </c>
      <c r="O50" s="206">
        <f t="shared" si="17"/>
        <v>45820</v>
      </c>
      <c r="P50" s="32">
        <f t="shared" si="14"/>
        <v>5</v>
      </c>
      <c r="Q50" s="203">
        <v>11</v>
      </c>
      <c r="R50" s="203">
        <v>2.5</v>
      </c>
      <c r="S50" s="203">
        <v>0</v>
      </c>
      <c r="T50" s="209">
        <f t="shared" si="11"/>
        <v>8.5</v>
      </c>
    </row>
    <row r="51" spans="1:20" ht="15" customHeight="1" thickBot="1" x14ac:dyDescent="0.25">
      <c r="A51" s="206">
        <f t="shared" si="15"/>
        <v>45760</v>
      </c>
      <c r="B51" s="32">
        <f t="shared" si="12"/>
        <v>1</v>
      </c>
      <c r="C51" s="203">
        <v>8</v>
      </c>
      <c r="D51" s="203">
        <v>1.5</v>
      </c>
      <c r="E51" s="203">
        <v>1</v>
      </c>
      <c r="F51" s="209">
        <f t="shared" si="9"/>
        <v>5.5</v>
      </c>
      <c r="H51" s="31">
        <f t="shared" si="16"/>
        <v>45790</v>
      </c>
      <c r="I51" s="32">
        <f t="shared" si="13"/>
        <v>3</v>
      </c>
      <c r="J51" s="200">
        <v>4</v>
      </c>
      <c r="K51" s="200">
        <v>1</v>
      </c>
      <c r="L51" s="200">
        <v>0</v>
      </c>
      <c r="M51" s="26">
        <f t="shared" si="10"/>
        <v>3</v>
      </c>
      <c r="O51" s="206">
        <f t="shared" si="17"/>
        <v>45821</v>
      </c>
      <c r="P51" s="32">
        <f t="shared" si="14"/>
        <v>6</v>
      </c>
      <c r="Q51" s="203">
        <v>8</v>
      </c>
      <c r="R51" s="203">
        <v>3</v>
      </c>
      <c r="S51" s="203">
        <v>0</v>
      </c>
      <c r="T51" s="209">
        <f t="shared" si="11"/>
        <v>5</v>
      </c>
    </row>
    <row r="52" spans="1:20" ht="15" customHeight="1" thickBot="1" x14ac:dyDescent="0.25">
      <c r="A52" s="206">
        <f t="shared" si="15"/>
        <v>45761</v>
      </c>
      <c r="B52" s="32">
        <f t="shared" si="12"/>
        <v>2</v>
      </c>
      <c r="C52" s="203">
        <v>6</v>
      </c>
      <c r="D52" s="203">
        <v>1</v>
      </c>
      <c r="E52" s="203">
        <v>0.75</v>
      </c>
      <c r="F52" s="209">
        <f t="shared" si="9"/>
        <v>4.25</v>
      </c>
      <c r="H52" s="31">
        <f t="shared" si="16"/>
        <v>45791</v>
      </c>
      <c r="I52" s="32">
        <f t="shared" si="13"/>
        <v>4</v>
      </c>
      <c r="J52" s="200">
        <v>2</v>
      </c>
      <c r="K52" s="200">
        <v>1.5</v>
      </c>
      <c r="L52" s="200">
        <v>0.5</v>
      </c>
      <c r="M52" s="26">
        <f t="shared" si="10"/>
        <v>0</v>
      </c>
      <c r="O52" s="206">
        <f t="shared" si="17"/>
        <v>45822</v>
      </c>
      <c r="P52" s="32">
        <f t="shared" si="14"/>
        <v>7</v>
      </c>
      <c r="Q52" s="203">
        <v>1</v>
      </c>
      <c r="R52" s="203">
        <v>1</v>
      </c>
      <c r="S52" s="203">
        <v>0</v>
      </c>
      <c r="T52" s="209">
        <f t="shared" si="11"/>
        <v>0</v>
      </c>
    </row>
    <row r="53" spans="1:20" ht="15" customHeight="1" thickBot="1" x14ac:dyDescent="0.25">
      <c r="A53" s="206">
        <f t="shared" si="15"/>
        <v>45762</v>
      </c>
      <c r="B53" s="32">
        <f t="shared" si="12"/>
        <v>3</v>
      </c>
      <c r="C53" s="203">
        <v>3</v>
      </c>
      <c r="D53" s="203">
        <v>1.5</v>
      </c>
      <c r="E53" s="203">
        <v>0</v>
      </c>
      <c r="F53" s="209">
        <f t="shared" si="9"/>
        <v>1.5</v>
      </c>
      <c r="H53" s="31">
        <f t="shared" si="16"/>
        <v>45792</v>
      </c>
      <c r="I53" s="32">
        <f t="shared" si="13"/>
        <v>5</v>
      </c>
      <c r="J53" s="200">
        <v>2.5</v>
      </c>
      <c r="K53" s="200">
        <v>2.5</v>
      </c>
      <c r="L53" s="200">
        <v>0</v>
      </c>
      <c r="M53" s="26">
        <f t="shared" si="10"/>
        <v>0</v>
      </c>
      <c r="O53" s="206">
        <f t="shared" si="17"/>
        <v>45823</v>
      </c>
      <c r="P53" s="32">
        <f t="shared" si="14"/>
        <v>1</v>
      </c>
      <c r="Q53" s="203">
        <v>1</v>
      </c>
      <c r="R53" s="203">
        <v>1</v>
      </c>
      <c r="S53" s="203">
        <v>0</v>
      </c>
      <c r="T53" s="209">
        <f t="shared" si="11"/>
        <v>0</v>
      </c>
    </row>
    <row r="54" spans="1:20" ht="15" customHeight="1" thickBot="1" x14ac:dyDescent="0.25">
      <c r="A54" s="206">
        <f t="shared" si="15"/>
        <v>45763</v>
      </c>
      <c r="B54" s="32">
        <f t="shared" si="12"/>
        <v>4</v>
      </c>
      <c r="C54" s="203">
        <v>6</v>
      </c>
      <c r="D54" s="203">
        <v>1.5</v>
      </c>
      <c r="E54" s="203">
        <v>0</v>
      </c>
      <c r="F54" s="209">
        <f t="shared" si="9"/>
        <v>4.5</v>
      </c>
      <c r="H54" s="31">
        <f t="shared" si="16"/>
        <v>45793</v>
      </c>
      <c r="I54" s="32">
        <f t="shared" si="13"/>
        <v>6</v>
      </c>
      <c r="J54" s="200">
        <v>4</v>
      </c>
      <c r="K54" s="200">
        <v>1</v>
      </c>
      <c r="L54" s="200">
        <v>1.25</v>
      </c>
      <c r="M54" s="26">
        <f t="shared" si="10"/>
        <v>1.75</v>
      </c>
      <c r="O54" s="206">
        <f t="shared" si="17"/>
        <v>45824</v>
      </c>
      <c r="P54" s="32">
        <f t="shared" si="14"/>
        <v>2</v>
      </c>
      <c r="Q54" s="203">
        <v>6</v>
      </c>
      <c r="R54" s="203">
        <v>1.5</v>
      </c>
      <c r="S54" s="203">
        <v>0</v>
      </c>
      <c r="T54" s="209">
        <f t="shared" si="11"/>
        <v>4.5</v>
      </c>
    </row>
    <row r="55" spans="1:20" ht="15" customHeight="1" thickBot="1" x14ac:dyDescent="0.25">
      <c r="A55" s="206">
        <f t="shared" si="15"/>
        <v>45764</v>
      </c>
      <c r="B55" s="32">
        <f t="shared" si="12"/>
        <v>5</v>
      </c>
      <c r="C55" s="203">
        <v>8</v>
      </c>
      <c r="D55" s="203">
        <v>2</v>
      </c>
      <c r="E55" s="203">
        <v>1</v>
      </c>
      <c r="F55" s="209">
        <f t="shared" si="9"/>
        <v>5</v>
      </c>
      <c r="H55" s="31">
        <f t="shared" si="16"/>
        <v>45794</v>
      </c>
      <c r="I55" s="32">
        <f t="shared" si="13"/>
        <v>7</v>
      </c>
      <c r="J55" s="200">
        <v>2</v>
      </c>
      <c r="K55" s="200">
        <v>2</v>
      </c>
      <c r="L55" s="200">
        <v>0</v>
      </c>
      <c r="M55" s="26">
        <f t="shared" si="10"/>
        <v>0</v>
      </c>
      <c r="O55" s="206">
        <f t="shared" si="17"/>
        <v>45825</v>
      </c>
      <c r="P55" s="32">
        <f t="shared" si="14"/>
        <v>3</v>
      </c>
      <c r="Q55" s="203"/>
      <c r="R55" s="203"/>
      <c r="S55" s="203"/>
      <c r="T55" s="209" t="str">
        <f t="shared" si="11"/>
        <v xml:space="preserve"> </v>
      </c>
    </row>
    <row r="56" spans="1:20" ht="15" customHeight="1" thickBot="1" x14ac:dyDescent="0.25">
      <c r="A56" s="206">
        <f t="shared" si="15"/>
        <v>45765</v>
      </c>
      <c r="B56" s="32">
        <f t="shared" si="12"/>
        <v>6</v>
      </c>
      <c r="C56" s="203">
        <v>5</v>
      </c>
      <c r="D56" s="203">
        <v>0</v>
      </c>
      <c r="E56" s="203">
        <v>0</v>
      </c>
      <c r="F56" s="209">
        <f t="shared" si="9"/>
        <v>5</v>
      </c>
      <c r="H56" s="31">
        <f t="shared" si="16"/>
        <v>45795</v>
      </c>
      <c r="I56" s="32">
        <f t="shared" si="13"/>
        <v>1</v>
      </c>
      <c r="J56" s="200">
        <v>0.5</v>
      </c>
      <c r="K56" s="200">
        <v>0.5</v>
      </c>
      <c r="L56" s="200">
        <v>0</v>
      </c>
      <c r="M56" s="26">
        <f t="shared" si="10"/>
        <v>0</v>
      </c>
      <c r="O56" s="206">
        <f t="shared" si="17"/>
        <v>45826</v>
      </c>
      <c r="P56" s="32">
        <f t="shared" si="14"/>
        <v>4</v>
      </c>
      <c r="Q56" s="203"/>
      <c r="R56" s="203"/>
      <c r="S56" s="203"/>
      <c r="T56" s="209" t="str">
        <f t="shared" si="11"/>
        <v xml:space="preserve"> </v>
      </c>
    </row>
    <row r="57" spans="1:20" ht="15" customHeight="1" thickBot="1" x14ac:dyDescent="0.25">
      <c r="A57" s="206">
        <f t="shared" si="15"/>
        <v>45766</v>
      </c>
      <c r="B57" s="32">
        <f t="shared" si="12"/>
        <v>7</v>
      </c>
      <c r="C57" s="203">
        <v>1</v>
      </c>
      <c r="D57" s="203">
        <v>1</v>
      </c>
      <c r="E57" s="203">
        <v>0</v>
      </c>
      <c r="F57" s="209">
        <f t="shared" si="9"/>
        <v>0</v>
      </c>
      <c r="H57" s="31">
        <f t="shared" si="16"/>
        <v>45796</v>
      </c>
      <c r="I57" s="32">
        <f t="shared" si="13"/>
        <v>2</v>
      </c>
      <c r="J57" s="200">
        <v>7.75</v>
      </c>
      <c r="K57" s="200">
        <v>1.5</v>
      </c>
      <c r="L57" s="200">
        <v>0</v>
      </c>
      <c r="M57" s="26">
        <f t="shared" si="10"/>
        <v>6.25</v>
      </c>
      <c r="O57" s="206">
        <f t="shared" si="17"/>
        <v>45827</v>
      </c>
      <c r="P57" s="32">
        <f t="shared" si="14"/>
        <v>5</v>
      </c>
      <c r="Q57" s="203"/>
      <c r="R57" s="203"/>
      <c r="S57" s="203"/>
      <c r="T57" s="209" t="str">
        <f t="shared" si="11"/>
        <v xml:space="preserve"> </v>
      </c>
    </row>
    <row r="58" spans="1:20" ht="15" customHeight="1" thickBot="1" x14ac:dyDescent="0.25">
      <c r="A58" s="206">
        <f t="shared" si="15"/>
        <v>45767</v>
      </c>
      <c r="B58" s="32">
        <f t="shared" si="12"/>
        <v>1</v>
      </c>
      <c r="C58" s="203">
        <v>0</v>
      </c>
      <c r="D58" s="203">
        <v>0</v>
      </c>
      <c r="E58" s="203">
        <v>0</v>
      </c>
      <c r="F58" s="209">
        <f t="shared" si="9"/>
        <v>0</v>
      </c>
      <c r="H58" s="31">
        <f t="shared" si="16"/>
        <v>45797</v>
      </c>
      <c r="I58" s="32">
        <f t="shared" si="13"/>
        <v>3</v>
      </c>
      <c r="J58" s="200">
        <v>8</v>
      </c>
      <c r="K58" s="200">
        <v>2.75</v>
      </c>
      <c r="L58" s="200">
        <v>0</v>
      </c>
      <c r="M58" s="26">
        <f t="shared" si="10"/>
        <v>5.25</v>
      </c>
      <c r="O58" s="206">
        <f t="shared" si="17"/>
        <v>45828</v>
      </c>
      <c r="P58" s="32">
        <f t="shared" si="14"/>
        <v>6</v>
      </c>
      <c r="Q58" s="203"/>
      <c r="R58" s="203"/>
      <c r="S58" s="203"/>
      <c r="T58" s="209" t="str">
        <f t="shared" si="11"/>
        <v xml:space="preserve"> </v>
      </c>
    </row>
    <row r="59" spans="1:20" ht="15" customHeight="1" thickBot="1" x14ac:dyDescent="0.25">
      <c r="A59" s="206">
        <f t="shared" si="15"/>
        <v>45768</v>
      </c>
      <c r="B59" s="32">
        <f t="shared" si="12"/>
        <v>2</v>
      </c>
      <c r="C59" s="203">
        <v>7</v>
      </c>
      <c r="D59" s="203">
        <v>1.5</v>
      </c>
      <c r="E59" s="203">
        <v>1</v>
      </c>
      <c r="F59" s="209">
        <f t="shared" si="9"/>
        <v>4.5</v>
      </c>
      <c r="H59" s="31">
        <f t="shared" si="16"/>
        <v>45798</v>
      </c>
      <c r="I59" s="32">
        <f t="shared" si="13"/>
        <v>4</v>
      </c>
      <c r="J59" s="200">
        <v>11</v>
      </c>
      <c r="K59" s="200">
        <v>4.75</v>
      </c>
      <c r="L59" s="200">
        <v>0.5</v>
      </c>
      <c r="M59" s="26">
        <f t="shared" si="10"/>
        <v>5.75</v>
      </c>
      <c r="O59" s="206">
        <f t="shared" si="17"/>
        <v>45829</v>
      </c>
      <c r="P59" s="32">
        <f t="shared" si="14"/>
        <v>7</v>
      </c>
      <c r="Q59" s="203"/>
      <c r="R59" s="203"/>
      <c r="S59" s="203"/>
      <c r="T59" s="209" t="str">
        <f t="shared" si="11"/>
        <v xml:space="preserve"> </v>
      </c>
    </row>
    <row r="60" spans="1:20" ht="15" customHeight="1" thickBot="1" x14ac:dyDescent="0.25">
      <c r="A60" s="206">
        <f t="shared" si="15"/>
        <v>45769</v>
      </c>
      <c r="B60" s="32">
        <f t="shared" si="12"/>
        <v>3</v>
      </c>
      <c r="C60" s="203">
        <v>8</v>
      </c>
      <c r="D60" s="203">
        <v>1.25</v>
      </c>
      <c r="E60" s="203">
        <v>0</v>
      </c>
      <c r="F60" s="209">
        <f t="shared" si="9"/>
        <v>6.75</v>
      </c>
      <c r="H60" s="31">
        <f t="shared" si="16"/>
        <v>45799</v>
      </c>
      <c r="I60" s="32">
        <f t="shared" si="13"/>
        <v>5</v>
      </c>
      <c r="J60" s="200">
        <v>8</v>
      </c>
      <c r="K60" s="200">
        <v>3.5</v>
      </c>
      <c r="L60" s="200">
        <v>0.5</v>
      </c>
      <c r="M60" s="26">
        <f t="shared" si="10"/>
        <v>4</v>
      </c>
      <c r="O60" s="206">
        <f t="shared" si="17"/>
        <v>45830</v>
      </c>
      <c r="P60" s="32">
        <f t="shared" si="14"/>
        <v>1</v>
      </c>
      <c r="Q60" s="203"/>
      <c r="R60" s="203"/>
      <c r="S60" s="203"/>
      <c r="T60" s="209" t="str">
        <f t="shared" si="11"/>
        <v xml:space="preserve"> </v>
      </c>
    </row>
    <row r="61" spans="1:20" ht="15" customHeight="1" thickBot="1" x14ac:dyDescent="0.25">
      <c r="A61" s="206">
        <f t="shared" si="15"/>
        <v>45770</v>
      </c>
      <c r="B61" s="32">
        <f t="shared" si="12"/>
        <v>4</v>
      </c>
      <c r="C61" s="203">
        <v>9</v>
      </c>
      <c r="D61" s="203">
        <v>1.5</v>
      </c>
      <c r="E61" s="203">
        <v>0</v>
      </c>
      <c r="F61" s="209">
        <f t="shared" si="9"/>
        <v>7.5</v>
      </c>
      <c r="H61" s="31">
        <f t="shared" si="16"/>
        <v>45800</v>
      </c>
      <c r="I61" s="32">
        <f t="shared" si="13"/>
        <v>6</v>
      </c>
      <c r="J61" s="200">
        <v>10.5</v>
      </c>
      <c r="K61" s="200">
        <v>3</v>
      </c>
      <c r="L61" s="200">
        <v>1</v>
      </c>
      <c r="M61" s="26">
        <f t="shared" si="10"/>
        <v>6.5</v>
      </c>
      <c r="O61" s="206">
        <f t="shared" si="17"/>
        <v>45831</v>
      </c>
      <c r="P61" s="32">
        <f t="shared" si="14"/>
        <v>2</v>
      </c>
      <c r="Q61" s="203"/>
      <c r="R61" s="203"/>
      <c r="S61" s="203"/>
      <c r="T61" s="209" t="str">
        <f t="shared" si="11"/>
        <v xml:space="preserve"> </v>
      </c>
    </row>
    <row r="62" spans="1:20" ht="15" customHeight="1" thickBot="1" x14ac:dyDescent="0.25">
      <c r="A62" s="206">
        <f t="shared" si="15"/>
        <v>45771</v>
      </c>
      <c r="B62" s="32">
        <f t="shared" si="12"/>
        <v>5</v>
      </c>
      <c r="C62" s="203">
        <v>11</v>
      </c>
      <c r="D62" s="203">
        <v>3.5</v>
      </c>
      <c r="E62" s="203">
        <v>1.5</v>
      </c>
      <c r="F62" s="209">
        <f t="shared" si="9"/>
        <v>6</v>
      </c>
      <c r="H62" s="31">
        <f t="shared" si="16"/>
        <v>45801</v>
      </c>
      <c r="I62" s="32">
        <f t="shared" si="13"/>
        <v>7</v>
      </c>
      <c r="J62" s="200">
        <v>1</v>
      </c>
      <c r="K62" s="200">
        <v>0</v>
      </c>
      <c r="L62" s="200">
        <v>1</v>
      </c>
      <c r="M62" s="26">
        <f t="shared" si="10"/>
        <v>0</v>
      </c>
      <c r="O62" s="206">
        <f t="shared" si="17"/>
        <v>45832</v>
      </c>
      <c r="P62" s="32">
        <f t="shared" si="14"/>
        <v>3</v>
      </c>
      <c r="Q62" s="203"/>
      <c r="R62" s="203"/>
      <c r="S62" s="203"/>
      <c r="T62" s="209" t="str">
        <f t="shared" si="11"/>
        <v xml:space="preserve"> </v>
      </c>
    </row>
    <row r="63" spans="1:20" ht="15" customHeight="1" thickBot="1" x14ac:dyDescent="0.25">
      <c r="A63" s="206">
        <f t="shared" si="15"/>
        <v>45772</v>
      </c>
      <c r="B63" s="32">
        <f t="shared" si="12"/>
        <v>6</v>
      </c>
      <c r="C63" s="203">
        <v>6.5</v>
      </c>
      <c r="D63" s="203">
        <v>2</v>
      </c>
      <c r="E63" s="203">
        <v>1</v>
      </c>
      <c r="F63" s="209">
        <f t="shared" si="9"/>
        <v>3.5</v>
      </c>
      <c r="H63" s="31">
        <f t="shared" si="16"/>
        <v>45802</v>
      </c>
      <c r="I63" s="32">
        <f t="shared" si="13"/>
        <v>1</v>
      </c>
      <c r="J63" s="200">
        <v>1</v>
      </c>
      <c r="K63" s="200">
        <v>1</v>
      </c>
      <c r="L63" s="200">
        <v>0</v>
      </c>
      <c r="M63" s="26">
        <f t="shared" si="10"/>
        <v>0</v>
      </c>
      <c r="O63" s="206">
        <f t="shared" si="17"/>
        <v>45833</v>
      </c>
      <c r="P63" s="32">
        <f t="shared" si="14"/>
        <v>4</v>
      </c>
      <c r="Q63" s="203"/>
      <c r="R63" s="203"/>
      <c r="S63" s="203"/>
      <c r="T63" s="209" t="str">
        <f t="shared" si="11"/>
        <v xml:space="preserve"> </v>
      </c>
    </row>
    <row r="64" spans="1:20" ht="15" customHeight="1" thickBot="1" x14ac:dyDescent="0.25">
      <c r="A64" s="206">
        <f t="shared" si="15"/>
        <v>45773</v>
      </c>
      <c r="B64" s="32">
        <f t="shared" si="12"/>
        <v>7</v>
      </c>
      <c r="C64" s="203">
        <v>0</v>
      </c>
      <c r="D64" s="203">
        <v>0</v>
      </c>
      <c r="E64" s="203">
        <v>0</v>
      </c>
      <c r="F64" s="209">
        <f t="shared" si="9"/>
        <v>0</v>
      </c>
      <c r="H64" s="31">
        <f t="shared" si="16"/>
        <v>45803</v>
      </c>
      <c r="I64" s="32">
        <f t="shared" si="13"/>
        <v>2</v>
      </c>
      <c r="J64" s="200">
        <v>1</v>
      </c>
      <c r="K64" s="200">
        <v>0</v>
      </c>
      <c r="L64" s="200">
        <v>0</v>
      </c>
      <c r="M64" s="26">
        <f t="shared" si="10"/>
        <v>1</v>
      </c>
      <c r="O64" s="206">
        <f t="shared" si="17"/>
        <v>45834</v>
      </c>
      <c r="P64" s="32">
        <f t="shared" si="14"/>
        <v>5</v>
      </c>
      <c r="Q64" s="203"/>
      <c r="R64" s="203"/>
      <c r="S64" s="203"/>
      <c r="T64" s="209" t="str">
        <f t="shared" si="11"/>
        <v xml:space="preserve"> </v>
      </c>
    </row>
    <row r="65" spans="1:20" ht="15" customHeight="1" thickBot="1" x14ac:dyDescent="0.25">
      <c r="A65" s="206">
        <f t="shared" si="15"/>
        <v>45774</v>
      </c>
      <c r="B65" s="32">
        <f t="shared" si="12"/>
        <v>1</v>
      </c>
      <c r="C65" s="203">
        <v>2</v>
      </c>
      <c r="D65" s="203">
        <v>2</v>
      </c>
      <c r="E65" s="203">
        <v>0</v>
      </c>
      <c r="F65" s="209">
        <f t="shared" si="9"/>
        <v>0</v>
      </c>
      <c r="H65" s="31">
        <f t="shared" si="16"/>
        <v>45804</v>
      </c>
      <c r="I65" s="32">
        <f t="shared" si="13"/>
        <v>3</v>
      </c>
      <c r="J65" s="200">
        <v>10</v>
      </c>
      <c r="K65" s="200">
        <v>2</v>
      </c>
      <c r="L65" s="200">
        <v>0</v>
      </c>
      <c r="M65" s="26">
        <f t="shared" si="10"/>
        <v>8</v>
      </c>
      <c r="O65" s="206">
        <f t="shared" si="17"/>
        <v>45835</v>
      </c>
      <c r="P65" s="32">
        <f t="shared" si="14"/>
        <v>6</v>
      </c>
      <c r="Q65" s="203"/>
      <c r="R65" s="203"/>
      <c r="S65" s="203"/>
      <c r="T65" s="209" t="str">
        <f t="shared" si="11"/>
        <v xml:space="preserve"> </v>
      </c>
    </row>
    <row r="66" spans="1:20" ht="15" customHeight="1" thickBot="1" x14ac:dyDescent="0.25">
      <c r="A66" s="206">
        <f t="shared" si="15"/>
        <v>45775</v>
      </c>
      <c r="B66" s="32">
        <f t="shared" si="12"/>
        <v>2</v>
      </c>
      <c r="C66" s="203">
        <v>5</v>
      </c>
      <c r="D66" s="203">
        <v>1</v>
      </c>
      <c r="E66" s="203">
        <v>0</v>
      </c>
      <c r="F66" s="209">
        <f t="shared" si="9"/>
        <v>4</v>
      </c>
      <c r="H66" s="31">
        <f t="shared" si="16"/>
        <v>45805</v>
      </c>
      <c r="I66" s="32">
        <f t="shared" si="13"/>
        <v>4</v>
      </c>
      <c r="J66" s="200">
        <v>10</v>
      </c>
      <c r="K66" s="200">
        <v>3</v>
      </c>
      <c r="L66" s="200">
        <v>0.5</v>
      </c>
      <c r="M66" s="26">
        <f t="shared" si="10"/>
        <v>6.5</v>
      </c>
      <c r="O66" s="206">
        <f t="shared" si="17"/>
        <v>45836</v>
      </c>
      <c r="P66" s="32">
        <f t="shared" si="14"/>
        <v>7</v>
      </c>
      <c r="Q66" s="203"/>
      <c r="R66" s="203"/>
      <c r="S66" s="203"/>
      <c r="T66" s="209" t="str">
        <f t="shared" si="11"/>
        <v xml:space="preserve"> </v>
      </c>
    </row>
    <row r="67" spans="1:20" ht="15" customHeight="1" thickBot="1" x14ac:dyDescent="0.25">
      <c r="A67" s="206">
        <f t="shared" si="15"/>
        <v>45776</v>
      </c>
      <c r="B67" s="32">
        <f t="shared" si="12"/>
        <v>3</v>
      </c>
      <c r="C67" s="203">
        <v>7</v>
      </c>
      <c r="D67" s="203">
        <v>1.5</v>
      </c>
      <c r="E67" s="203">
        <v>0.5</v>
      </c>
      <c r="F67" s="209">
        <f t="shared" si="9"/>
        <v>5</v>
      </c>
      <c r="H67" s="31">
        <f t="shared" si="16"/>
        <v>45806</v>
      </c>
      <c r="I67" s="32">
        <f t="shared" si="13"/>
        <v>5</v>
      </c>
      <c r="J67" s="200">
        <v>10</v>
      </c>
      <c r="K67" s="200">
        <v>3</v>
      </c>
      <c r="L67" s="200">
        <v>0</v>
      </c>
      <c r="M67" s="26">
        <f t="shared" si="10"/>
        <v>7</v>
      </c>
      <c r="O67" s="206">
        <f t="shared" si="17"/>
        <v>45837</v>
      </c>
      <c r="P67" s="32">
        <f t="shared" si="14"/>
        <v>1</v>
      </c>
      <c r="Q67" s="203"/>
      <c r="R67" s="203"/>
      <c r="S67" s="203"/>
      <c r="T67" s="209" t="str">
        <f t="shared" si="11"/>
        <v xml:space="preserve"> </v>
      </c>
    </row>
    <row r="68" spans="1:20" ht="15" customHeight="1" thickBot="1" x14ac:dyDescent="0.25">
      <c r="A68" s="207">
        <f t="shared" si="15"/>
        <v>45777</v>
      </c>
      <c r="B68" s="208">
        <f t="shared" si="12"/>
        <v>4</v>
      </c>
      <c r="C68" s="203">
        <v>7</v>
      </c>
      <c r="D68" s="203">
        <v>4</v>
      </c>
      <c r="E68" s="203">
        <v>0</v>
      </c>
      <c r="F68" s="210">
        <f t="shared" si="9"/>
        <v>3</v>
      </c>
      <c r="H68" s="31">
        <f t="shared" si="16"/>
        <v>45807</v>
      </c>
      <c r="I68" s="32">
        <f t="shared" si="13"/>
        <v>6</v>
      </c>
      <c r="J68" s="200">
        <v>9</v>
      </c>
      <c r="K68" s="200">
        <v>2</v>
      </c>
      <c r="L68" s="200">
        <v>0.5</v>
      </c>
      <c r="M68" s="26">
        <f t="shared" si="10"/>
        <v>6.5</v>
      </c>
      <c r="O68" s="207">
        <f t="shared" si="17"/>
        <v>45838</v>
      </c>
      <c r="P68" s="208">
        <f t="shared" si="14"/>
        <v>2</v>
      </c>
      <c r="Q68" s="203">
        <v>7</v>
      </c>
      <c r="R68" s="203">
        <v>1</v>
      </c>
      <c r="S68" s="203">
        <v>0</v>
      </c>
      <c r="T68" s="210">
        <f t="shared" si="11"/>
        <v>6</v>
      </c>
    </row>
    <row r="69" spans="1:20" ht="15" customHeight="1" thickBot="1" x14ac:dyDescent="0.25">
      <c r="H69" s="39">
        <f t="shared" si="16"/>
        <v>45808</v>
      </c>
      <c r="I69" s="40">
        <f t="shared" si="13"/>
        <v>7</v>
      </c>
      <c r="J69" s="201">
        <v>0</v>
      </c>
      <c r="K69" s="201">
        <v>0</v>
      </c>
      <c r="L69" s="201">
        <v>0</v>
      </c>
      <c r="M69" s="41">
        <f t="shared" si="10"/>
        <v>0</v>
      </c>
    </row>
    <row r="70" spans="1:20" ht="17" thickTop="1" x14ac:dyDescent="0.2"/>
    <row r="71" spans="1:20" ht="17" thickBot="1" x14ac:dyDescent="0.25"/>
    <row r="72" spans="1:20" ht="23" thickTop="1" thickBot="1" x14ac:dyDescent="0.3">
      <c r="A72" s="824" t="s">
        <v>191</v>
      </c>
      <c r="B72" s="825"/>
      <c r="C72" s="825"/>
      <c r="D72" s="825"/>
      <c r="E72" s="825"/>
      <c r="F72" s="826"/>
      <c r="H72" s="821" t="s">
        <v>192</v>
      </c>
      <c r="I72" s="822"/>
      <c r="J72" s="822"/>
      <c r="K72" s="822"/>
      <c r="L72" s="822"/>
      <c r="M72" s="823"/>
      <c r="O72" s="824" t="s">
        <v>193</v>
      </c>
      <c r="P72" s="825"/>
      <c r="Q72" s="825"/>
      <c r="R72" s="825"/>
      <c r="S72" s="825"/>
      <c r="T72" s="826"/>
    </row>
    <row r="73" spans="1:20" ht="20.25" customHeight="1" thickBot="1" x14ac:dyDescent="0.25">
      <c r="A73" s="24" t="s">
        <v>4</v>
      </c>
      <c r="B73" s="25" t="s">
        <v>69</v>
      </c>
      <c r="C73" s="199" t="s">
        <v>0</v>
      </c>
      <c r="D73" s="199" t="s">
        <v>1</v>
      </c>
      <c r="E73" s="199" t="s">
        <v>2</v>
      </c>
      <c r="F73" s="26" t="s">
        <v>97</v>
      </c>
      <c r="H73" s="205" t="s">
        <v>4</v>
      </c>
      <c r="I73" s="25" t="s">
        <v>69</v>
      </c>
      <c r="J73" s="202" t="s">
        <v>0</v>
      </c>
      <c r="K73" s="202" t="s">
        <v>1</v>
      </c>
      <c r="L73" s="202" t="s">
        <v>2</v>
      </c>
      <c r="M73" s="209" t="s">
        <v>97</v>
      </c>
      <c r="O73" s="24" t="s">
        <v>4</v>
      </c>
      <c r="P73" s="25" t="s">
        <v>69</v>
      </c>
      <c r="Q73" s="199" t="s">
        <v>0</v>
      </c>
      <c r="R73" s="199" t="s">
        <v>1</v>
      </c>
      <c r="S73" s="199" t="s">
        <v>2</v>
      </c>
      <c r="T73" s="26" t="s">
        <v>97</v>
      </c>
    </row>
    <row r="74" spans="1:20" ht="15" customHeight="1" thickBot="1" x14ac:dyDescent="0.25">
      <c r="A74" s="31">
        <f>DATEVALUE(CONCATENATE("7/1/",Budget!$A$1))</f>
        <v>45839</v>
      </c>
      <c r="B74" s="32">
        <f>IF(A74&lt;&gt;"",WEEKDAY(A74,1),"")</f>
        <v>3</v>
      </c>
      <c r="C74" s="200">
        <v>9</v>
      </c>
      <c r="D74" s="200">
        <v>1</v>
      </c>
      <c r="E74" s="200">
        <v>0.5</v>
      </c>
      <c r="F74" s="26">
        <f t="shared" ref="F74:F104" si="18">IF(C74="", " ",C74-D74-E74)</f>
        <v>7.5</v>
      </c>
      <c r="H74" s="206">
        <f>DATEVALUE(CONCATENATE("8/1/",Budget!$A$1))</f>
        <v>45870</v>
      </c>
      <c r="I74" s="32">
        <f>IF(H74&lt;&gt;"",WEEKDAY(H74,1),"")</f>
        <v>6</v>
      </c>
      <c r="J74" s="203">
        <v>9</v>
      </c>
      <c r="K74" s="203">
        <v>2.5</v>
      </c>
      <c r="L74" s="203">
        <v>1</v>
      </c>
      <c r="M74" s="209">
        <f t="shared" ref="M74:M103" si="19">IF(J74="", " ",J74-K74-L74)</f>
        <v>5.5</v>
      </c>
      <c r="O74" s="31">
        <f>DATEVALUE(CONCATENATE("9/1/",Budget!$A$1))</f>
        <v>45901</v>
      </c>
      <c r="P74" s="32">
        <f>IF(O74&lt;&gt;"",WEEKDAY(O74,1),"")</f>
        <v>2</v>
      </c>
      <c r="Q74" s="200">
        <v>1</v>
      </c>
      <c r="R74" s="200">
        <v>1</v>
      </c>
      <c r="S74" s="200">
        <v>0</v>
      </c>
      <c r="T74" s="26">
        <f t="shared" ref="T74:T103" si="20">IF(Q74="", " ",Q74-R74-S74)</f>
        <v>0</v>
      </c>
    </row>
    <row r="75" spans="1:20" ht="15" customHeight="1" thickBot="1" x14ac:dyDescent="0.25">
      <c r="A75" s="31">
        <f>A74+1</f>
        <v>45840</v>
      </c>
      <c r="B75" s="32">
        <f t="shared" ref="B75:B104" si="21">IF(A75&lt;&gt;"",WEEKDAY(A75,1),"")</f>
        <v>4</v>
      </c>
      <c r="C75" s="200">
        <v>11.5</v>
      </c>
      <c r="D75" s="200">
        <v>4</v>
      </c>
      <c r="E75" s="200">
        <v>1.5</v>
      </c>
      <c r="F75" s="26">
        <f t="shared" si="18"/>
        <v>6</v>
      </c>
      <c r="H75" s="206">
        <f>H74+1</f>
        <v>45871</v>
      </c>
      <c r="I75" s="32">
        <f t="shared" ref="I75:I103" si="22">IF(H75&lt;&gt;"",WEEKDAY(H75,1),"")</f>
        <v>7</v>
      </c>
      <c r="J75" s="203">
        <v>4</v>
      </c>
      <c r="K75" s="203">
        <v>1.5</v>
      </c>
      <c r="L75" s="203">
        <v>0</v>
      </c>
      <c r="M75" s="209">
        <f t="shared" si="19"/>
        <v>2.5</v>
      </c>
      <c r="O75" s="31">
        <f>O74+1</f>
        <v>45902</v>
      </c>
      <c r="P75" s="32">
        <f t="shared" ref="P75:P103" si="23">IF(O75&lt;&gt;"",WEEKDAY(O75,1),"")</f>
        <v>3</v>
      </c>
      <c r="Q75" s="200">
        <v>3</v>
      </c>
      <c r="R75" s="200">
        <v>1</v>
      </c>
      <c r="S75" s="200">
        <v>0</v>
      </c>
      <c r="T75" s="26">
        <f t="shared" si="20"/>
        <v>2</v>
      </c>
    </row>
    <row r="76" spans="1:20" ht="15" customHeight="1" thickBot="1" x14ac:dyDescent="0.25">
      <c r="A76" s="31">
        <f t="shared" ref="A76:A104" si="24">A75+1</f>
        <v>45841</v>
      </c>
      <c r="B76" s="32">
        <f t="shared" si="21"/>
        <v>5</v>
      </c>
      <c r="C76" s="200">
        <v>8</v>
      </c>
      <c r="D76" s="200">
        <v>0.5</v>
      </c>
      <c r="E76" s="200">
        <v>0</v>
      </c>
      <c r="F76" s="26">
        <f t="shared" si="18"/>
        <v>7.5</v>
      </c>
      <c r="H76" s="206">
        <f t="shared" ref="H76:H104" si="25">H75+1</f>
        <v>45872</v>
      </c>
      <c r="I76" s="32">
        <f t="shared" si="22"/>
        <v>1</v>
      </c>
      <c r="J76" s="203">
        <v>0.5</v>
      </c>
      <c r="K76" s="203">
        <v>0.5</v>
      </c>
      <c r="L76" s="203">
        <v>0</v>
      </c>
      <c r="M76" s="209">
        <f t="shared" si="19"/>
        <v>0</v>
      </c>
      <c r="O76" s="31">
        <f t="shared" ref="O76:O103" si="26">O75+1</f>
        <v>45903</v>
      </c>
      <c r="P76" s="32">
        <f t="shared" si="23"/>
        <v>4</v>
      </c>
      <c r="Q76" s="200">
        <v>8</v>
      </c>
      <c r="R76" s="200">
        <v>3</v>
      </c>
      <c r="S76" s="200">
        <v>0</v>
      </c>
      <c r="T76" s="26">
        <f t="shared" si="20"/>
        <v>5</v>
      </c>
    </row>
    <row r="77" spans="1:20" ht="15" customHeight="1" thickBot="1" x14ac:dyDescent="0.25">
      <c r="A77" s="31">
        <f t="shared" si="24"/>
        <v>45842</v>
      </c>
      <c r="B77" s="32">
        <f t="shared" si="21"/>
        <v>6</v>
      </c>
      <c r="C77" s="200">
        <v>1.5</v>
      </c>
      <c r="D77" s="200">
        <v>1.5</v>
      </c>
      <c r="E77" s="200">
        <v>0</v>
      </c>
      <c r="F77" s="26">
        <f t="shared" si="18"/>
        <v>0</v>
      </c>
      <c r="H77" s="206">
        <f t="shared" si="25"/>
        <v>45873</v>
      </c>
      <c r="I77" s="32">
        <f t="shared" si="22"/>
        <v>2</v>
      </c>
      <c r="J77" s="203">
        <v>4</v>
      </c>
      <c r="K77" s="203">
        <v>0.5</v>
      </c>
      <c r="L77" s="203">
        <v>0</v>
      </c>
      <c r="M77" s="209">
        <f t="shared" si="19"/>
        <v>3.5</v>
      </c>
      <c r="O77" s="31">
        <f t="shared" si="26"/>
        <v>45904</v>
      </c>
      <c r="P77" s="32">
        <f t="shared" si="23"/>
        <v>5</v>
      </c>
      <c r="Q77" s="200">
        <v>4</v>
      </c>
      <c r="R77" s="200">
        <v>2</v>
      </c>
      <c r="S77" s="200">
        <v>0</v>
      </c>
      <c r="T77" s="26">
        <f t="shared" si="20"/>
        <v>2</v>
      </c>
    </row>
    <row r="78" spans="1:20" ht="15" customHeight="1" thickBot="1" x14ac:dyDescent="0.25">
      <c r="A78" s="31">
        <f t="shared" si="24"/>
        <v>45843</v>
      </c>
      <c r="B78" s="32">
        <f t="shared" si="21"/>
        <v>7</v>
      </c>
      <c r="C78" s="200">
        <v>0</v>
      </c>
      <c r="D78" s="200">
        <v>0</v>
      </c>
      <c r="E78" s="200">
        <v>0</v>
      </c>
      <c r="F78" s="26">
        <f t="shared" si="18"/>
        <v>0</v>
      </c>
      <c r="H78" s="206">
        <f t="shared" si="25"/>
        <v>45874</v>
      </c>
      <c r="I78" s="32">
        <f t="shared" si="22"/>
        <v>3</v>
      </c>
      <c r="J78" s="203">
        <v>9</v>
      </c>
      <c r="K78" s="203">
        <v>1.75</v>
      </c>
      <c r="L78" s="203">
        <v>0</v>
      </c>
      <c r="M78" s="209">
        <f t="shared" si="19"/>
        <v>7.25</v>
      </c>
      <c r="O78" s="31">
        <f t="shared" si="26"/>
        <v>45905</v>
      </c>
      <c r="P78" s="32">
        <f t="shared" si="23"/>
        <v>6</v>
      </c>
      <c r="Q78" s="200">
        <v>1</v>
      </c>
      <c r="R78" s="200">
        <v>1</v>
      </c>
      <c r="S78" s="200">
        <v>0</v>
      </c>
      <c r="T78" s="26">
        <f t="shared" si="20"/>
        <v>0</v>
      </c>
    </row>
    <row r="79" spans="1:20" ht="15" customHeight="1" thickBot="1" x14ac:dyDescent="0.25">
      <c r="A79" s="31">
        <f t="shared" si="24"/>
        <v>45844</v>
      </c>
      <c r="B79" s="32">
        <f t="shared" si="21"/>
        <v>1</v>
      </c>
      <c r="C79" s="200">
        <v>0</v>
      </c>
      <c r="D79" s="200">
        <v>0</v>
      </c>
      <c r="E79" s="200">
        <v>0</v>
      </c>
      <c r="F79" s="26">
        <f t="shared" si="18"/>
        <v>0</v>
      </c>
      <c r="H79" s="206">
        <f t="shared" si="25"/>
        <v>45875</v>
      </c>
      <c r="I79" s="32">
        <f t="shared" si="22"/>
        <v>4</v>
      </c>
      <c r="J79" s="203">
        <v>14</v>
      </c>
      <c r="K79" s="203">
        <v>6.5</v>
      </c>
      <c r="L79" s="203">
        <v>0</v>
      </c>
      <c r="M79" s="209">
        <f t="shared" si="19"/>
        <v>7.5</v>
      </c>
      <c r="O79" s="31">
        <f t="shared" si="26"/>
        <v>45906</v>
      </c>
      <c r="P79" s="32">
        <f t="shared" si="23"/>
        <v>7</v>
      </c>
      <c r="Q79" s="200">
        <v>0</v>
      </c>
      <c r="R79" s="200">
        <v>0</v>
      </c>
      <c r="S79" s="200">
        <v>0</v>
      </c>
      <c r="T79" s="26">
        <f t="shared" si="20"/>
        <v>0</v>
      </c>
    </row>
    <row r="80" spans="1:20" ht="15" customHeight="1" thickBot="1" x14ac:dyDescent="0.25">
      <c r="A80" s="31">
        <f t="shared" si="24"/>
        <v>45845</v>
      </c>
      <c r="B80" s="32">
        <f t="shared" si="21"/>
        <v>2</v>
      </c>
      <c r="C80" s="200">
        <v>5</v>
      </c>
      <c r="D80" s="200">
        <v>0.5</v>
      </c>
      <c r="E80" s="200">
        <v>0</v>
      </c>
      <c r="F80" s="26">
        <f t="shared" si="18"/>
        <v>4.5</v>
      </c>
      <c r="H80" s="206">
        <f t="shared" si="25"/>
        <v>45876</v>
      </c>
      <c r="I80" s="32">
        <f t="shared" si="22"/>
        <v>5</v>
      </c>
      <c r="J80" s="203">
        <v>12.5</v>
      </c>
      <c r="K80" s="203">
        <v>6.25</v>
      </c>
      <c r="L80" s="203">
        <v>0</v>
      </c>
      <c r="M80" s="209">
        <f t="shared" si="19"/>
        <v>6.25</v>
      </c>
      <c r="O80" s="31">
        <f t="shared" si="26"/>
        <v>45907</v>
      </c>
      <c r="P80" s="32">
        <f t="shared" si="23"/>
        <v>1</v>
      </c>
      <c r="Q80" s="200">
        <v>0</v>
      </c>
      <c r="R80" s="200">
        <v>0</v>
      </c>
      <c r="S80" s="200">
        <v>0</v>
      </c>
      <c r="T80" s="26">
        <f t="shared" si="20"/>
        <v>0</v>
      </c>
    </row>
    <row r="81" spans="1:20" ht="15" customHeight="1" thickBot="1" x14ac:dyDescent="0.25">
      <c r="A81" s="31">
        <f t="shared" si="24"/>
        <v>45846</v>
      </c>
      <c r="B81" s="32">
        <f t="shared" si="21"/>
        <v>3</v>
      </c>
      <c r="C81" s="200">
        <v>10</v>
      </c>
      <c r="D81" s="200">
        <v>3</v>
      </c>
      <c r="E81" s="200">
        <v>0</v>
      </c>
      <c r="F81" s="26">
        <f t="shared" si="18"/>
        <v>7</v>
      </c>
      <c r="H81" s="206">
        <f t="shared" si="25"/>
        <v>45877</v>
      </c>
      <c r="I81" s="32">
        <f t="shared" si="22"/>
        <v>6</v>
      </c>
      <c r="J81" s="203">
        <v>11</v>
      </c>
      <c r="K81" s="203">
        <v>2.5</v>
      </c>
      <c r="L81" s="203">
        <v>0</v>
      </c>
      <c r="M81" s="209">
        <f t="shared" si="19"/>
        <v>8.5</v>
      </c>
      <c r="O81" s="31">
        <f t="shared" si="26"/>
        <v>45908</v>
      </c>
      <c r="P81" s="32">
        <f t="shared" si="23"/>
        <v>2</v>
      </c>
      <c r="Q81" s="200">
        <v>7</v>
      </c>
      <c r="R81" s="200">
        <v>2</v>
      </c>
      <c r="S81" s="200">
        <v>0</v>
      </c>
      <c r="T81" s="26">
        <f t="shared" si="20"/>
        <v>5</v>
      </c>
    </row>
    <row r="82" spans="1:20" ht="15" customHeight="1" thickBot="1" x14ac:dyDescent="0.25">
      <c r="A82" s="31">
        <f t="shared" si="24"/>
        <v>45847</v>
      </c>
      <c r="B82" s="32">
        <f t="shared" si="21"/>
        <v>4</v>
      </c>
      <c r="C82" s="200">
        <v>7</v>
      </c>
      <c r="D82" s="200">
        <v>2.5</v>
      </c>
      <c r="E82" s="200">
        <v>0</v>
      </c>
      <c r="F82" s="26">
        <f t="shared" si="18"/>
        <v>4.5</v>
      </c>
      <c r="H82" s="206">
        <f t="shared" si="25"/>
        <v>45878</v>
      </c>
      <c r="I82" s="32">
        <f t="shared" si="22"/>
        <v>7</v>
      </c>
      <c r="J82" s="203">
        <v>4</v>
      </c>
      <c r="K82" s="203">
        <v>2</v>
      </c>
      <c r="L82" s="203">
        <v>0.5</v>
      </c>
      <c r="M82" s="209">
        <f t="shared" si="19"/>
        <v>1.5</v>
      </c>
      <c r="O82" s="31">
        <f t="shared" si="26"/>
        <v>45909</v>
      </c>
      <c r="P82" s="32">
        <f t="shared" si="23"/>
        <v>3</v>
      </c>
      <c r="Q82" s="200">
        <v>10</v>
      </c>
      <c r="R82" s="200">
        <v>0.5</v>
      </c>
      <c r="S82" s="200">
        <v>0</v>
      </c>
      <c r="T82" s="26">
        <f t="shared" si="20"/>
        <v>9.5</v>
      </c>
    </row>
    <row r="83" spans="1:20" ht="15" customHeight="1" thickBot="1" x14ac:dyDescent="0.25">
      <c r="A83" s="31">
        <f t="shared" si="24"/>
        <v>45848</v>
      </c>
      <c r="B83" s="32">
        <f t="shared" si="21"/>
        <v>5</v>
      </c>
      <c r="C83" s="200">
        <v>10</v>
      </c>
      <c r="D83" s="200">
        <v>2</v>
      </c>
      <c r="E83" s="200">
        <v>0</v>
      </c>
      <c r="F83" s="26">
        <f t="shared" si="18"/>
        <v>8</v>
      </c>
      <c r="H83" s="206">
        <f t="shared" si="25"/>
        <v>45879</v>
      </c>
      <c r="I83" s="32">
        <f t="shared" si="22"/>
        <v>1</v>
      </c>
      <c r="J83" s="203">
        <v>1.5</v>
      </c>
      <c r="K83" s="203">
        <v>1</v>
      </c>
      <c r="L83" s="203">
        <v>0.5</v>
      </c>
      <c r="M83" s="209">
        <f t="shared" si="19"/>
        <v>0</v>
      </c>
      <c r="O83" s="31">
        <f t="shared" si="26"/>
        <v>45910</v>
      </c>
      <c r="P83" s="32">
        <f t="shared" si="23"/>
        <v>4</v>
      </c>
      <c r="Q83" s="200">
        <v>14</v>
      </c>
      <c r="R83" s="200">
        <v>2</v>
      </c>
      <c r="S83" s="200">
        <v>1</v>
      </c>
      <c r="T83" s="26">
        <f t="shared" si="20"/>
        <v>11</v>
      </c>
    </row>
    <row r="84" spans="1:20" ht="15" customHeight="1" thickBot="1" x14ac:dyDescent="0.25">
      <c r="A84" s="31">
        <f t="shared" si="24"/>
        <v>45849</v>
      </c>
      <c r="B84" s="32">
        <f t="shared" si="21"/>
        <v>6</v>
      </c>
      <c r="C84" s="200">
        <v>2</v>
      </c>
      <c r="D84" s="200">
        <v>0</v>
      </c>
      <c r="E84" s="200">
        <v>0</v>
      </c>
      <c r="F84" s="26">
        <f t="shared" si="18"/>
        <v>2</v>
      </c>
      <c r="H84" s="206">
        <f t="shared" si="25"/>
        <v>45880</v>
      </c>
      <c r="I84" s="32">
        <f t="shared" si="22"/>
        <v>2</v>
      </c>
      <c r="J84" s="203">
        <v>12</v>
      </c>
      <c r="K84" s="203">
        <v>2.5</v>
      </c>
      <c r="L84" s="203">
        <v>0</v>
      </c>
      <c r="M84" s="209">
        <f t="shared" si="19"/>
        <v>9.5</v>
      </c>
      <c r="O84" s="31">
        <f t="shared" si="26"/>
        <v>45911</v>
      </c>
      <c r="P84" s="32">
        <f t="shared" si="23"/>
        <v>5</v>
      </c>
      <c r="Q84" s="200">
        <v>10</v>
      </c>
      <c r="R84" s="200">
        <v>1</v>
      </c>
      <c r="S84" s="200">
        <v>0</v>
      </c>
      <c r="T84" s="26">
        <f t="shared" si="20"/>
        <v>9</v>
      </c>
    </row>
    <row r="85" spans="1:20" ht="15" customHeight="1" thickBot="1" x14ac:dyDescent="0.25">
      <c r="A85" s="31">
        <f t="shared" si="24"/>
        <v>45850</v>
      </c>
      <c r="B85" s="32">
        <f t="shared" si="21"/>
        <v>7</v>
      </c>
      <c r="C85" s="200">
        <v>0</v>
      </c>
      <c r="D85" s="200">
        <v>0</v>
      </c>
      <c r="E85" s="200">
        <v>0</v>
      </c>
      <c r="F85" s="26">
        <f t="shared" si="18"/>
        <v>0</v>
      </c>
      <c r="H85" s="206">
        <f t="shared" si="25"/>
        <v>45881</v>
      </c>
      <c r="I85" s="32">
        <f t="shared" si="22"/>
        <v>3</v>
      </c>
      <c r="J85" s="203">
        <v>9</v>
      </c>
      <c r="K85" s="203">
        <v>2</v>
      </c>
      <c r="L85" s="203">
        <v>1</v>
      </c>
      <c r="M85" s="209">
        <f t="shared" si="19"/>
        <v>6</v>
      </c>
      <c r="O85" s="31">
        <f t="shared" si="26"/>
        <v>45912</v>
      </c>
      <c r="P85" s="32">
        <f t="shared" si="23"/>
        <v>6</v>
      </c>
      <c r="Q85" s="200">
        <v>7</v>
      </c>
      <c r="R85" s="200">
        <v>1</v>
      </c>
      <c r="S85" s="200">
        <v>0</v>
      </c>
      <c r="T85" s="26">
        <f t="shared" si="20"/>
        <v>6</v>
      </c>
    </row>
    <row r="86" spans="1:20" ht="15" customHeight="1" thickBot="1" x14ac:dyDescent="0.25">
      <c r="A86" s="31">
        <f t="shared" si="24"/>
        <v>45851</v>
      </c>
      <c r="B86" s="32">
        <f t="shared" si="21"/>
        <v>1</v>
      </c>
      <c r="C86" s="200">
        <v>0</v>
      </c>
      <c r="D86" s="200">
        <v>0</v>
      </c>
      <c r="E86" s="200">
        <v>0</v>
      </c>
      <c r="F86" s="26">
        <f t="shared" si="18"/>
        <v>0</v>
      </c>
      <c r="H86" s="206">
        <f t="shared" si="25"/>
        <v>45882</v>
      </c>
      <c r="I86" s="32">
        <f t="shared" si="22"/>
        <v>4</v>
      </c>
      <c r="J86" s="203">
        <v>7</v>
      </c>
      <c r="K86" s="203">
        <v>2</v>
      </c>
      <c r="L86" s="203">
        <v>1</v>
      </c>
      <c r="M86" s="209">
        <f t="shared" si="19"/>
        <v>4</v>
      </c>
      <c r="O86" s="31">
        <f t="shared" si="26"/>
        <v>45913</v>
      </c>
      <c r="P86" s="32">
        <f t="shared" si="23"/>
        <v>7</v>
      </c>
      <c r="Q86" s="200">
        <v>0</v>
      </c>
      <c r="R86" s="200">
        <v>0</v>
      </c>
      <c r="S86" s="200">
        <v>0</v>
      </c>
      <c r="T86" s="26">
        <f t="shared" si="20"/>
        <v>0</v>
      </c>
    </row>
    <row r="87" spans="1:20" ht="15" customHeight="1" thickBot="1" x14ac:dyDescent="0.25">
      <c r="A87" s="31">
        <f t="shared" si="24"/>
        <v>45852</v>
      </c>
      <c r="B87" s="32">
        <f t="shared" si="21"/>
        <v>2</v>
      </c>
      <c r="C87" s="200">
        <v>3</v>
      </c>
      <c r="D87" s="200">
        <v>1</v>
      </c>
      <c r="E87" s="200">
        <v>0.5</v>
      </c>
      <c r="F87" s="26">
        <f t="shared" si="18"/>
        <v>1.5</v>
      </c>
      <c r="H87" s="206">
        <f t="shared" si="25"/>
        <v>45883</v>
      </c>
      <c r="I87" s="32">
        <f t="shared" si="22"/>
        <v>5</v>
      </c>
      <c r="J87" s="203">
        <v>11</v>
      </c>
      <c r="K87" s="203">
        <v>4</v>
      </c>
      <c r="L87" s="203">
        <v>0</v>
      </c>
      <c r="M87" s="209">
        <f t="shared" si="19"/>
        <v>7</v>
      </c>
      <c r="O87" s="31">
        <f t="shared" si="26"/>
        <v>45914</v>
      </c>
      <c r="P87" s="32">
        <f t="shared" si="23"/>
        <v>1</v>
      </c>
      <c r="Q87" s="200">
        <v>2.5</v>
      </c>
      <c r="R87" s="200">
        <v>1</v>
      </c>
      <c r="S87" s="200">
        <v>1.5</v>
      </c>
      <c r="T87" s="26">
        <f t="shared" si="20"/>
        <v>0</v>
      </c>
    </row>
    <row r="88" spans="1:20" ht="15" customHeight="1" thickBot="1" x14ac:dyDescent="0.25">
      <c r="A88" s="31">
        <f t="shared" si="24"/>
        <v>45853</v>
      </c>
      <c r="B88" s="32">
        <f t="shared" si="21"/>
        <v>3</v>
      </c>
      <c r="C88" s="200">
        <v>11.5</v>
      </c>
      <c r="D88" s="200">
        <v>2</v>
      </c>
      <c r="E88" s="200">
        <v>0</v>
      </c>
      <c r="F88" s="26">
        <f t="shared" si="18"/>
        <v>9.5</v>
      </c>
      <c r="H88" s="206">
        <f t="shared" si="25"/>
        <v>45884</v>
      </c>
      <c r="I88" s="32">
        <f t="shared" si="22"/>
        <v>6</v>
      </c>
      <c r="J88" s="203">
        <v>8</v>
      </c>
      <c r="K88" s="203">
        <v>0.5</v>
      </c>
      <c r="L88" s="203">
        <v>0</v>
      </c>
      <c r="M88" s="209">
        <f t="shared" si="19"/>
        <v>7.5</v>
      </c>
      <c r="O88" s="31">
        <f t="shared" si="26"/>
        <v>45915</v>
      </c>
      <c r="P88" s="32">
        <f t="shared" si="23"/>
        <v>2</v>
      </c>
      <c r="Q88" s="200">
        <v>6</v>
      </c>
      <c r="R88" s="200">
        <v>0.5</v>
      </c>
      <c r="S88" s="200">
        <v>0</v>
      </c>
      <c r="T88" s="26">
        <f t="shared" si="20"/>
        <v>5.5</v>
      </c>
    </row>
    <row r="89" spans="1:20" ht="15" customHeight="1" thickBot="1" x14ac:dyDescent="0.25">
      <c r="A89" s="31">
        <f t="shared" si="24"/>
        <v>45854</v>
      </c>
      <c r="B89" s="32">
        <f t="shared" si="21"/>
        <v>4</v>
      </c>
      <c r="C89" s="200">
        <v>12</v>
      </c>
      <c r="D89" s="200">
        <v>5.5</v>
      </c>
      <c r="E89" s="200">
        <v>1</v>
      </c>
      <c r="F89" s="26">
        <f t="shared" si="18"/>
        <v>5.5</v>
      </c>
      <c r="H89" s="206">
        <f t="shared" si="25"/>
        <v>45885</v>
      </c>
      <c r="I89" s="32">
        <f t="shared" si="22"/>
        <v>7</v>
      </c>
      <c r="J89" s="203">
        <v>2</v>
      </c>
      <c r="K89" s="203">
        <v>2</v>
      </c>
      <c r="L89" s="203">
        <v>0</v>
      </c>
      <c r="M89" s="209">
        <f t="shared" si="19"/>
        <v>0</v>
      </c>
      <c r="O89" s="31">
        <f t="shared" si="26"/>
        <v>45916</v>
      </c>
      <c r="P89" s="32">
        <f t="shared" si="23"/>
        <v>3</v>
      </c>
      <c r="Q89" s="200">
        <v>5</v>
      </c>
      <c r="R89" s="200">
        <v>1</v>
      </c>
      <c r="S89" s="200">
        <v>0</v>
      </c>
      <c r="T89" s="26">
        <f t="shared" si="20"/>
        <v>4</v>
      </c>
    </row>
    <row r="90" spans="1:20" ht="15" customHeight="1" thickBot="1" x14ac:dyDescent="0.25">
      <c r="A90" s="31">
        <f t="shared" si="24"/>
        <v>45855</v>
      </c>
      <c r="B90" s="32">
        <f t="shared" si="21"/>
        <v>5</v>
      </c>
      <c r="C90" s="200">
        <v>11</v>
      </c>
      <c r="D90" s="200">
        <v>4.5</v>
      </c>
      <c r="E90" s="200">
        <v>0</v>
      </c>
      <c r="F90" s="26">
        <f t="shared" si="18"/>
        <v>6.5</v>
      </c>
      <c r="H90" s="206">
        <f t="shared" si="25"/>
        <v>45886</v>
      </c>
      <c r="I90" s="32">
        <f t="shared" si="22"/>
        <v>1</v>
      </c>
      <c r="J90" s="203">
        <v>1</v>
      </c>
      <c r="K90" s="203">
        <v>1</v>
      </c>
      <c r="L90" s="203">
        <v>0</v>
      </c>
      <c r="M90" s="209">
        <f t="shared" si="19"/>
        <v>0</v>
      </c>
      <c r="O90" s="31">
        <f t="shared" si="26"/>
        <v>45917</v>
      </c>
      <c r="P90" s="32">
        <f t="shared" si="23"/>
        <v>4</v>
      </c>
      <c r="Q90" s="200">
        <v>9</v>
      </c>
      <c r="R90" s="200">
        <v>5</v>
      </c>
      <c r="S90" s="200">
        <v>0</v>
      </c>
      <c r="T90" s="26">
        <f t="shared" si="20"/>
        <v>4</v>
      </c>
    </row>
    <row r="91" spans="1:20" ht="15" customHeight="1" thickBot="1" x14ac:dyDescent="0.25">
      <c r="A91" s="31">
        <f t="shared" si="24"/>
        <v>45856</v>
      </c>
      <c r="B91" s="32">
        <f t="shared" si="21"/>
        <v>6</v>
      </c>
      <c r="C91" s="200">
        <v>11</v>
      </c>
      <c r="D91" s="200">
        <v>4.75</v>
      </c>
      <c r="E91" s="200">
        <v>0.5</v>
      </c>
      <c r="F91" s="26">
        <f t="shared" si="18"/>
        <v>5.75</v>
      </c>
      <c r="H91" s="206">
        <f t="shared" si="25"/>
        <v>45887</v>
      </c>
      <c r="I91" s="32">
        <f t="shared" si="22"/>
        <v>2</v>
      </c>
      <c r="J91" s="203">
        <v>9</v>
      </c>
      <c r="K91" s="203">
        <v>2</v>
      </c>
      <c r="L91" s="203">
        <v>0</v>
      </c>
      <c r="M91" s="209">
        <f t="shared" si="19"/>
        <v>7</v>
      </c>
      <c r="O91" s="31">
        <f t="shared" si="26"/>
        <v>45918</v>
      </c>
      <c r="P91" s="32">
        <f t="shared" si="23"/>
        <v>5</v>
      </c>
      <c r="Q91" s="200">
        <v>11</v>
      </c>
      <c r="R91" s="200">
        <v>3.5</v>
      </c>
      <c r="S91" s="200">
        <v>0</v>
      </c>
      <c r="T91" s="26">
        <f t="shared" si="20"/>
        <v>7.5</v>
      </c>
    </row>
    <row r="92" spans="1:20" ht="15" customHeight="1" thickBot="1" x14ac:dyDescent="0.25">
      <c r="A92" s="31">
        <f t="shared" si="24"/>
        <v>45857</v>
      </c>
      <c r="B92" s="32">
        <f t="shared" si="21"/>
        <v>7</v>
      </c>
      <c r="C92" s="200">
        <v>6</v>
      </c>
      <c r="D92" s="200">
        <v>2</v>
      </c>
      <c r="E92" s="200">
        <v>4</v>
      </c>
      <c r="F92" s="26">
        <f t="shared" si="18"/>
        <v>0</v>
      </c>
      <c r="H92" s="206">
        <f t="shared" si="25"/>
        <v>45888</v>
      </c>
      <c r="I92" s="32">
        <f t="shared" si="22"/>
        <v>3</v>
      </c>
      <c r="J92" s="203">
        <v>10</v>
      </c>
      <c r="K92" s="203">
        <v>5</v>
      </c>
      <c r="L92" s="203">
        <v>0</v>
      </c>
      <c r="M92" s="209">
        <f t="shared" si="19"/>
        <v>5</v>
      </c>
      <c r="O92" s="31">
        <f t="shared" si="26"/>
        <v>45919</v>
      </c>
      <c r="P92" s="32">
        <f t="shared" si="23"/>
        <v>6</v>
      </c>
      <c r="Q92" s="200">
        <v>9</v>
      </c>
      <c r="R92" s="200">
        <v>3</v>
      </c>
      <c r="S92" s="200">
        <v>1.5</v>
      </c>
      <c r="T92" s="26">
        <f t="shared" si="20"/>
        <v>4.5</v>
      </c>
    </row>
    <row r="93" spans="1:20" ht="15" customHeight="1" thickBot="1" x14ac:dyDescent="0.25">
      <c r="A93" s="31">
        <f t="shared" si="24"/>
        <v>45858</v>
      </c>
      <c r="B93" s="32">
        <f t="shared" si="21"/>
        <v>1</v>
      </c>
      <c r="C93" s="200">
        <v>1</v>
      </c>
      <c r="D93" s="200">
        <v>1</v>
      </c>
      <c r="E93" s="200">
        <v>0</v>
      </c>
      <c r="F93" s="26">
        <f t="shared" si="18"/>
        <v>0</v>
      </c>
      <c r="H93" s="206">
        <f t="shared" si="25"/>
        <v>45889</v>
      </c>
      <c r="I93" s="32">
        <f t="shared" si="22"/>
        <v>4</v>
      </c>
      <c r="J93" s="203">
        <v>9</v>
      </c>
      <c r="K93" s="203">
        <v>3.5</v>
      </c>
      <c r="L93" s="203">
        <v>0</v>
      </c>
      <c r="M93" s="209">
        <f t="shared" si="19"/>
        <v>5.5</v>
      </c>
      <c r="O93" s="31">
        <f t="shared" si="26"/>
        <v>45920</v>
      </c>
      <c r="P93" s="32">
        <f t="shared" si="23"/>
        <v>7</v>
      </c>
      <c r="Q93" s="200">
        <v>4</v>
      </c>
      <c r="R93" s="200">
        <v>3</v>
      </c>
      <c r="S93" s="200">
        <v>1</v>
      </c>
      <c r="T93" s="26">
        <f t="shared" si="20"/>
        <v>0</v>
      </c>
    </row>
    <row r="94" spans="1:20" ht="15" customHeight="1" thickBot="1" x14ac:dyDescent="0.25">
      <c r="A94" s="31">
        <f t="shared" si="24"/>
        <v>45859</v>
      </c>
      <c r="B94" s="32">
        <f t="shared" si="21"/>
        <v>2</v>
      </c>
      <c r="C94" s="200">
        <v>7</v>
      </c>
      <c r="D94" s="200">
        <v>2</v>
      </c>
      <c r="E94" s="200">
        <v>1</v>
      </c>
      <c r="F94" s="26">
        <f t="shared" si="18"/>
        <v>4</v>
      </c>
      <c r="H94" s="206">
        <f t="shared" si="25"/>
        <v>45890</v>
      </c>
      <c r="I94" s="32">
        <f t="shared" si="22"/>
        <v>5</v>
      </c>
      <c r="J94" s="203">
        <v>1</v>
      </c>
      <c r="K94" s="203">
        <v>0</v>
      </c>
      <c r="L94" s="203">
        <v>0</v>
      </c>
      <c r="M94" s="209">
        <f t="shared" si="19"/>
        <v>1</v>
      </c>
      <c r="O94" s="31">
        <f t="shared" si="26"/>
        <v>45921</v>
      </c>
      <c r="P94" s="32">
        <f t="shared" si="23"/>
        <v>1</v>
      </c>
      <c r="Q94" s="200">
        <v>0</v>
      </c>
      <c r="R94" s="200">
        <v>0</v>
      </c>
      <c r="S94" s="200">
        <v>0</v>
      </c>
      <c r="T94" s="26">
        <f t="shared" si="20"/>
        <v>0</v>
      </c>
    </row>
    <row r="95" spans="1:20" ht="15" customHeight="1" thickBot="1" x14ac:dyDescent="0.25">
      <c r="A95" s="31">
        <f t="shared" si="24"/>
        <v>45860</v>
      </c>
      <c r="B95" s="32">
        <f t="shared" si="21"/>
        <v>3</v>
      </c>
      <c r="C95" s="200">
        <v>10</v>
      </c>
      <c r="D95" s="200">
        <v>1.5</v>
      </c>
      <c r="E95" s="200">
        <v>2</v>
      </c>
      <c r="F95" s="26">
        <f t="shared" si="18"/>
        <v>6.5</v>
      </c>
      <c r="H95" s="206">
        <f t="shared" si="25"/>
        <v>45891</v>
      </c>
      <c r="I95" s="32">
        <f t="shared" si="22"/>
        <v>6</v>
      </c>
      <c r="J95" s="203">
        <v>1</v>
      </c>
      <c r="K95" s="203">
        <v>0</v>
      </c>
      <c r="L95" s="203">
        <v>0</v>
      </c>
      <c r="M95" s="209">
        <f t="shared" si="19"/>
        <v>1</v>
      </c>
      <c r="O95" s="31">
        <f t="shared" si="26"/>
        <v>45922</v>
      </c>
      <c r="P95" s="32">
        <f t="shared" si="23"/>
        <v>2</v>
      </c>
      <c r="Q95" s="200">
        <v>6</v>
      </c>
      <c r="R95" s="200">
        <v>1</v>
      </c>
      <c r="S95" s="200">
        <v>0</v>
      </c>
      <c r="T95" s="26">
        <f t="shared" si="20"/>
        <v>5</v>
      </c>
    </row>
    <row r="96" spans="1:20" ht="15" customHeight="1" thickBot="1" x14ac:dyDescent="0.25">
      <c r="A96" s="31">
        <f t="shared" si="24"/>
        <v>45861</v>
      </c>
      <c r="B96" s="32">
        <f t="shared" si="21"/>
        <v>4</v>
      </c>
      <c r="C96" s="200">
        <v>6.25</v>
      </c>
      <c r="D96" s="200">
        <v>1.5</v>
      </c>
      <c r="E96" s="200">
        <v>0.5</v>
      </c>
      <c r="F96" s="26">
        <f t="shared" si="18"/>
        <v>4.25</v>
      </c>
      <c r="H96" s="206">
        <f t="shared" si="25"/>
        <v>45892</v>
      </c>
      <c r="I96" s="32">
        <f t="shared" si="22"/>
        <v>7</v>
      </c>
      <c r="J96" s="203">
        <v>1</v>
      </c>
      <c r="K96" s="203">
        <v>0</v>
      </c>
      <c r="L96" s="203">
        <v>0</v>
      </c>
      <c r="M96" s="209">
        <f t="shared" si="19"/>
        <v>1</v>
      </c>
      <c r="O96" s="31">
        <f t="shared" si="26"/>
        <v>45923</v>
      </c>
      <c r="P96" s="32">
        <f t="shared" si="23"/>
        <v>3</v>
      </c>
      <c r="Q96" s="200">
        <v>2</v>
      </c>
      <c r="R96" s="200">
        <v>0.5</v>
      </c>
      <c r="S96" s="200">
        <v>0</v>
      </c>
      <c r="T96" s="26">
        <f t="shared" si="20"/>
        <v>1.5</v>
      </c>
    </row>
    <row r="97" spans="1:20" ht="15" customHeight="1" thickBot="1" x14ac:dyDescent="0.25">
      <c r="A97" s="31">
        <f t="shared" si="24"/>
        <v>45862</v>
      </c>
      <c r="B97" s="32">
        <f t="shared" si="21"/>
        <v>5</v>
      </c>
      <c r="C97" s="200">
        <v>0</v>
      </c>
      <c r="D97" s="200">
        <v>0</v>
      </c>
      <c r="E97" s="200">
        <v>0</v>
      </c>
      <c r="F97" s="26">
        <f t="shared" si="18"/>
        <v>0</v>
      </c>
      <c r="H97" s="206">
        <f t="shared" si="25"/>
        <v>45893</v>
      </c>
      <c r="I97" s="32">
        <f t="shared" si="22"/>
        <v>1</v>
      </c>
      <c r="J97" s="203">
        <v>1</v>
      </c>
      <c r="K97" s="203">
        <v>0</v>
      </c>
      <c r="L97" s="203">
        <v>0</v>
      </c>
      <c r="M97" s="209">
        <f t="shared" si="19"/>
        <v>1</v>
      </c>
      <c r="O97" s="31">
        <f t="shared" si="26"/>
        <v>45924</v>
      </c>
      <c r="P97" s="32">
        <f t="shared" si="23"/>
        <v>4</v>
      </c>
      <c r="Q97" s="200">
        <v>4</v>
      </c>
      <c r="R97" s="200">
        <v>1.5</v>
      </c>
      <c r="S97" s="200">
        <v>0</v>
      </c>
      <c r="T97" s="26">
        <f t="shared" si="20"/>
        <v>2.5</v>
      </c>
    </row>
    <row r="98" spans="1:20" ht="15" customHeight="1" thickBot="1" x14ac:dyDescent="0.25">
      <c r="A98" s="31">
        <f t="shared" si="24"/>
        <v>45863</v>
      </c>
      <c r="B98" s="32">
        <f t="shared" si="21"/>
        <v>6</v>
      </c>
      <c r="C98" s="200">
        <v>0</v>
      </c>
      <c r="D98" s="200">
        <v>0</v>
      </c>
      <c r="E98" s="200">
        <v>0</v>
      </c>
      <c r="F98" s="26">
        <f t="shared" si="18"/>
        <v>0</v>
      </c>
      <c r="H98" s="206">
        <f t="shared" si="25"/>
        <v>45894</v>
      </c>
      <c r="I98" s="32">
        <f t="shared" si="22"/>
        <v>2</v>
      </c>
      <c r="J98" s="203">
        <v>4.5</v>
      </c>
      <c r="K98" s="203">
        <v>1</v>
      </c>
      <c r="L98" s="203">
        <v>0</v>
      </c>
      <c r="M98" s="209">
        <f t="shared" si="19"/>
        <v>3.5</v>
      </c>
      <c r="O98" s="31">
        <f t="shared" si="26"/>
        <v>45925</v>
      </c>
      <c r="P98" s="32">
        <f t="shared" si="23"/>
        <v>5</v>
      </c>
      <c r="Q98" s="200">
        <v>10</v>
      </c>
      <c r="R98" s="200">
        <v>3.5</v>
      </c>
      <c r="S98" s="200">
        <v>0</v>
      </c>
      <c r="T98" s="26">
        <f t="shared" si="20"/>
        <v>6.5</v>
      </c>
    </row>
    <row r="99" spans="1:20" ht="15" customHeight="1" thickBot="1" x14ac:dyDescent="0.25">
      <c r="A99" s="31">
        <f t="shared" si="24"/>
        <v>45864</v>
      </c>
      <c r="B99" s="32">
        <f t="shared" si="21"/>
        <v>7</v>
      </c>
      <c r="C99" s="200">
        <v>0</v>
      </c>
      <c r="D99" s="200">
        <v>0</v>
      </c>
      <c r="E99" s="200">
        <v>0</v>
      </c>
      <c r="F99" s="26">
        <f t="shared" si="18"/>
        <v>0</v>
      </c>
      <c r="H99" s="206">
        <f t="shared" si="25"/>
        <v>45895</v>
      </c>
      <c r="I99" s="32">
        <f t="shared" si="22"/>
        <v>3</v>
      </c>
      <c r="J99" s="203">
        <v>4</v>
      </c>
      <c r="K99" s="203">
        <v>1</v>
      </c>
      <c r="L99" s="203">
        <v>0</v>
      </c>
      <c r="M99" s="209">
        <f t="shared" si="19"/>
        <v>3</v>
      </c>
      <c r="O99" s="31">
        <f t="shared" si="26"/>
        <v>45926</v>
      </c>
      <c r="P99" s="32">
        <f t="shared" si="23"/>
        <v>6</v>
      </c>
      <c r="Q99" s="200">
        <v>7</v>
      </c>
      <c r="R99" s="200">
        <v>0.5</v>
      </c>
      <c r="S99" s="200">
        <v>0</v>
      </c>
      <c r="T99" s="26">
        <f t="shared" si="20"/>
        <v>6.5</v>
      </c>
    </row>
    <row r="100" spans="1:20" ht="15" customHeight="1" thickBot="1" x14ac:dyDescent="0.25">
      <c r="A100" s="31">
        <f t="shared" si="24"/>
        <v>45865</v>
      </c>
      <c r="B100" s="32">
        <f t="shared" si="21"/>
        <v>1</v>
      </c>
      <c r="C100" s="200">
        <v>2</v>
      </c>
      <c r="D100" s="200">
        <v>2</v>
      </c>
      <c r="E100" s="200">
        <v>0</v>
      </c>
      <c r="F100" s="26">
        <f t="shared" si="18"/>
        <v>0</v>
      </c>
      <c r="H100" s="206">
        <f t="shared" si="25"/>
        <v>45896</v>
      </c>
      <c r="I100" s="32">
        <f t="shared" si="22"/>
        <v>4</v>
      </c>
      <c r="J100" s="203">
        <v>10</v>
      </c>
      <c r="K100" s="203">
        <v>3.5</v>
      </c>
      <c r="L100" s="203">
        <v>0.5</v>
      </c>
      <c r="M100" s="209">
        <f t="shared" si="19"/>
        <v>6</v>
      </c>
      <c r="O100" s="31">
        <f t="shared" si="26"/>
        <v>45927</v>
      </c>
      <c r="P100" s="32">
        <f t="shared" si="23"/>
        <v>7</v>
      </c>
      <c r="Q100" s="200">
        <v>1</v>
      </c>
      <c r="R100" s="200">
        <v>1</v>
      </c>
      <c r="S100" s="200">
        <v>0</v>
      </c>
      <c r="T100" s="26">
        <f t="shared" si="20"/>
        <v>0</v>
      </c>
    </row>
    <row r="101" spans="1:20" ht="15" customHeight="1" thickBot="1" x14ac:dyDescent="0.25">
      <c r="A101" s="31">
        <f t="shared" si="24"/>
        <v>45866</v>
      </c>
      <c r="B101" s="32">
        <f t="shared" si="21"/>
        <v>2</v>
      </c>
      <c r="C101" s="200">
        <v>10</v>
      </c>
      <c r="D101" s="200">
        <v>1</v>
      </c>
      <c r="E101" s="200">
        <v>0</v>
      </c>
      <c r="F101" s="26">
        <f t="shared" si="18"/>
        <v>9</v>
      </c>
      <c r="H101" s="206">
        <f t="shared" si="25"/>
        <v>45897</v>
      </c>
      <c r="I101" s="32">
        <f t="shared" si="22"/>
        <v>5</v>
      </c>
      <c r="J101" s="203">
        <v>8</v>
      </c>
      <c r="K101" s="203">
        <v>2</v>
      </c>
      <c r="L101" s="203">
        <v>0</v>
      </c>
      <c r="M101" s="209">
        <f t="shared" si="19"/>
        <v>6</v>
      </c>
      <c r="O101" s="31">
        <f t="shared" si="26"/>
        <v>45928</v>
      </c>
      <c r="P101" s="32">
        <f t="shared" si="23"/>
        <v>1</v>
      </c>
      <c r="Q101" s="200">
        <v>0.5</v>
      </c>
      <c r="R101" s="200">
        <v>0.5</v>
      </c>
      <c r="S101" s="200">
        <v>0</v>
      </c>
      <c r="T101" s="26">
        <f t="shared" si="20"/>
        <v>0</v>
      </c>
    </row>
    <row r="102" spans="1:20" ht="15" customHeight="1" thickBot="1" x14ac:dyDescent="0.25">
      <c r="A102" s="31">
        <f t="shared" si="24"/>
        <v>45867</v>
      </c>
      <c r="B102" s="32">
        <f t="shared" si="21"/>
        <v>3</v>
      </c>
      <c r="C102" s="200">
        <v>10</v>
      </c>
      <c r="D102" s="200">
        <v>1.5</v>
      </c>
      <c r="E102" s="200">
        <v>0</v>
      </c>
      <c r="F102" s="26">
        <f t="shared" si="18"/>
        <v>8.5</v>
      </c>
      <c r="H102" s="206">
        <f t="shared" si="25"/>
        <v>45898</v>
      </c>
      <c r="I102" s="32">
        <f t="shared" si="22"/>
        <v>6</v>
      </c>
      <c r="J102" s="203">
        <v>6</v>
      </c>
      <c r="K102" s="203">
        <v>1</v>
      </c>
      <c r="L102" s="203">
        <v>0</v>
      </c>
      <c r="M102" s="209">
        <f t="shared" si="19"/>
        <v>5</v>
      </c>
      <c r="O102" s="31">
        <f t="shared" si="26"/>
        <v>45929</v>
      </c>
      <c r="P102" s="32">
        <f t="shared" si="23"/>
        <v>2</v>
      </c>
      <c r="Q102" s="200">
        <v>10</v>
      </c>
      <c r="R102" s="200">
        <v>2</v>
      </c>
      <c r="S102" s="200">
        <v>0</v>
      </c>
      <c r="T102" s="26">
        <f t="shared" si="20"/>
        <v>8</v>
      </c>
    </row>
    <row r="103" spans="1:20" ht="15" customHeight="1" thickBot="1" x14ac:dyDescent="0.25">
      <c r="A103" s="31">
        <f t="shared" si="24"/>
        <v>45868</v>
      </c>
      <c r="B103" s="32">
        <f t="shared" si="21"/>
        <v>4</v>
      </c>
      <c r="C103" s="200">
        <v>10</v>
      </c>
      <c r="D103" s="200">
        <v>1.5</v>
      </c>
      <c r="E103" s="200">
        <v>0</v>
      </c>
      <c r="F103" s="26">
        <f t="shared" si="18"/>
        <v>8.5</v>
      </c>
      <c r="H103" s="206">
        <f t="shared" si="25"/>
        <v>45899</v>
      </c>
      <c r="I103" s="32">
        <f t="shared" si="22"/>
        <v>7</v>
      </c>
      <c r="J103" s="203">
        <v>1</v>
      </c>
      <c r="K103" s="203">
        <v>1</v>
      </c>
      <c r="L103" s="203">
        <v>0</v>
      </c>
      <c r="M103" s="209">
        <f t="shared" si="19"/>
        <v>0</v>
      </c>
      <c r="O103" s="39">
        <f t="shared" si="26"/>
        <v>45930</v>
      </c>
      <c r="P103" s="40">
        <f t="shared" si="23"/>
        <v>3</v>
      </c>
      <c r="Q103" s="201">
        <v>9</v>
      </c>
      <c r="R103" s="201">
        <v>2.5</v>
      </c>
      <c r="S103" s="201">
        <v>0</v>
      </c>
      <c r="T103" s="41">
        <f t="shared" si="20"/>
        <v>6.5</v>
      </c>
    </row>
    <row r="104" spans="1:20" ht="15" customHeight="1" thickTop="1" thickBot="1" x14ac:dyDescent="0.25">
      <c r="A104" s="39">
        <f t="shared" si="24"/>
        <v>45869</v>
      </c>
      <c r="B104" s="40">
        <f t="shared" si="21"/>
        <v>5</v>
      </c>
      <c r="C104" s="201">
        <v>12</v>
      </c>
      <c r="D104" s="201">
        <v>2</v>
      </c>
      <c r="E104" s="201">
        <v>0</v>
      </c>
      <c r="F104" s="41">
        <f t="shared" si="18"/>
        <v>10</v>
      </c>
      <c r="H104" s="207">
        <f t="shared" si="25"/>
        <v>45900</v>
      </c>
      <c r="I104" s="208">
        <f>IF(H104&lt;&gt;"",WEEKDAY(H104,1),"")</f>
        <v>1</v>
      </c>
      <c r="J104" s="204">
        <v>1</v>
      </c>
      <c r="K104" s="204">
        <v>1</v>
      </c>
      <c r="L104" s="204">
        <v>0</v>
      </c>
      <c r="M104" s="210">
        <f>IF(J104="", " ",J104-K104-L104)</f>
        <v>0</v>
      </c>
      <c r="O104" s="43"/>
      <c r="P104" s="44"/>
      <c r="Q104" s="45"/>
      <c r="R104" s="45"/>
      <c r="S104" s="45"/>
      <c r="T104" s="46"/>
    </row>
    <row r="105" spans="1:20" ht="17" thickTop="1" x14ac:dyDescent="0.2"/>
    <row r="106" spans="1:20" ht="17" thickBot="1" x14ac:dyDescent="0.25"/>
    <row r="107" spans="1:20" ht="22" customHeight="1" thickTop="1" thickBot="1" x14ac:dyDescent="0.3">
      <c r="A107" s="821" t="s">
        <v>194</v>
      </c>
      <c r="B107" s="822"/>
      <c r="C107" s="822"/>
      <c r="D107" s="822"/>
      <c r="E107" s="822"/>
      <c r="F107" s="823"/>
      <c r="H107" s="824" t="s">
        <v>195</v>
      </c>
      <c r="I107" s="825"/>
      <c r="J107" s="825"/>
      <c r="K107" s="825"/>
      <c r="L107" s="825"/>
      <c r="M107" s="826"/>
      <c r="O107" s="821" t="s">
        <v>196</v>
      </c>
      <c r="P107" s="822"/>
      <c r="Q107" s="822"/>
      <c r="R107" s="822"/>
      <c r="S107" s="822"/>
      <c r="T107" s="823"/>
    </row>
    <row r="108" spans="1:20" ht="20" customHeight="1" thickBot="1" x14ac:dyDescent="0.25">
      <c r="A108" s="205" t="s">
        <v>4</v>
      </c>
      <c r="B108" s="25" t="s">
        <v>69</v>
      </c>
      <c r="C108" s="202" t="s">
        <v>0</v>
      </c>
      <c r="D108" s="202" t="s">
        <v>1</v>
      </c>
      <c r="E108" s="202" t="s">
        <v>2</v>
      </c>
      <c r="F108" s="209" t="s">
        <v>97</v>
      </c>
      <c r="H108" s="24" t="s">
        <v>4</v>
      </c>
      <c r="I108" s="25" t="s">
        <v>69</v>
      </c>
      <c r="J108" s="199" t="s">
        <v>0</v>
      </c>
      <c r="K108" s="199" t="s">
        <v>1</v>
      </c>
      <c r="L108" s="199" t="s">
        <v>2</v>
      </c>
      <c r="M108" s="222" t="s">
        <v>97</v>
      </c>
      <c r="O108" s="205" t="s">
        <v>4</v>
      </c>
      <c r="P108" s="25" t="s">
        <v>69</v>
      </c>
      <c r="Q108" s="202" t="s">
        <v>0</v>
      </c>
      <c r="R108" s="202" t="s">
        <v>1</v>
      </c>
      <c r="S108" s="202" t="s">
        <v>2</v>
      </c>
      <c r="T108" s="209" t="s">
        <v>97</v>
      </c>
    </row>
    <row r="109" spans="1:20" ht="15" customHeight="1" thickBot="1" x14ac:dyDescent="0.25">
      <c r="A109" s="206">
        <f>DATEVALUE(CONCATENATE("10/1/",Budget!$A$1))</f>
        <v>45931</v>
      </c>
      <c r="B109" s="32">
        <f>IF(A109&lt;&gt;"",WEEKDAY(A109,1),"")</f>
        <v>4</v>
      </c>
      <c r="C109" s="203">
        <v>11</v>
      </c>
      <c r="D109" s="203">
        <v>2.5</v>
      </c>
      <c r="E109" s="203">
        <v>0</v>
      </c>
      <c r="F109" s="209">
        <f t="shared" ref="F109:F139" si="27">IF(C109="", " ",C109-D109-E109)</f>
        <v>8.5</v>
      </c>
      <c r="H109" s="223">
        <f>DATEVALUE(CONCATENATE("9/1/",Budget!$A$1))</f>
        <v>45901</v>
      </c>
      <c r="I109" s="32">
        <f>IF(H109&lt;&gt;"",WEEKDAY(H109,1),"")</f>
        <v>2</v>
      </c>
      <c r="J109" s="760">
        <v>0</v>
      </c>
      <c r="K109" s="200">
        <v>0</v>
      </c>
      <c r="L109" s="200">
        <v>0</v>
      </c>
      <c r="M109" s="222" t="e">
        <f>IF(K109="", " ",K109-#REF!-L109)</f>
        <v>#REF!</v>
      </c>
      <c r="O109" s="206">
        <f>DATEVALUE(CONCATENATE("10/1/",Budget!$A$1))</f>
        <v>45931</v>
      </c>
      <c r="P109" s="32">
        <f>IF(O109&lt;&gt;"",WEEKDAY(O109,1),"")</f>
        <v>4</v>
      </c>
      <c r="Q109" s="203">
        <v>9</v>
      </c>
      <c r="R109" s="203">
        <v>1</v>
      </c>
      <c r="S109" s="203">
        <v>1</v>
      </c>
      <c r="T109" s="209">
        <f t="shared" ref="T109:T139" si="28">IF(Q109="", " ",Q109-R109-S109)</f>
        <v>7</v>
      </c>
    </row>
    <row r="110" spans="1:20" ht="15" customHeight="1" thickBot="1" x14ac:dyDescent="0.25">
      <c r="A110" s="206">
        <f>A109+1</f>
        <v>45932</v>
      </c>
      <c r="B110" s="32">
        <f t="shared" ref="B110:B139" si="29">IF(A110&lt;&gt;"",WEEKDAY(A110,1),"")</f>
        <v>5</v>
      </c>
      <c r="C110" s="203">
        <v>6</v>
      </c>
      <c r="D110" s="203">
        <v>0.5</v>
      </c>
      <c r="E110" s="203">
        <v>0</v>
      </c>
      <c r="F110" s="209">
        <f t="shared" si="27"/>
        <v>5.5</v>
      </c>
      <c r="H110" s="223">
        <f>H109+1</f>
        <v>45902</v>
      </c>
      <c r="I110" s="32">
        <f t="shared" ref="I110:I138" si="30">IF(H110&lt;&gt;"",WEEKDAY(H110,1),"")</f>
        <v>3</v>
      </c>
      <c r="J110" s="200">
        <v>0</v>
      </c>
      <c r="K110" s="200">
        <v>0</v>
      </c>
      <c r="L110" s="200">
        <v>0</v>
      </c>
      <c r="M110" s="222">
        <f t="shared" ref="M110:M138" si="31">IF(J110="", " ",J110-K110-L110)</f>
        <v>0</v>
      </c>
      <c r="O110" s="206">
        <f>O109+1</f>
        <v>45932</v>
      </c>
      <c r="P110" s="32">
        <f t="shared" ref="P110:P139" si="32">IF(O110&lt;&gt;"",WEEKDAY(O110,1),"")</f>
        <v>5</v>
      </c>
      <c r="Q110" s="203">
        <v>6</v>
      </c>
      <c r="R110" s="203">
        <v>0.5</v>
      </c>
      <c r="S110" s="203">
        <v>0</v>
      </c>
      <c r="T110" s="209">
        <f t="shared" si="28"/>
        <v>5.5</v>
      </c>
    </row>
    <row r="111" spans="1:20" ht="15" customHeight="1" thickBot="1" x14ac:dyDescent="0.25">
      <c r="A111" s="206">
        <f t="shared" ref="A111:A139" si="33">A110+1</f>
        <v>45933</v>
      </c>
      <c r="B111" s="32">
        <f t="shared" si="29"/>
        <v>6</v>
      </c>
      <c r="C111" s="203">
        <v>8</v>
      </c>
      <c r="D111" s="203">
        <v>2</v>
      </c>
      <c r="E111" s="203">
        <v>0</v>
      </c>
      <c r="F111" s="209">
        <f t="shared" si="27"/>
        <v>6</v>
      </c>
      <c r="H111" s="223">
        <f t="shared" ref="H111:H138" si="34">H110+1</f>
        <v>45903</v>
      </c>
      <c r="I111" s="32">
        <f t="shared" si="30"/>
        <v>4</v>
      </c>
      <c r="J111" s="200">
        <v>10</v>
      </c>
      <c r="K111" s="200">
        <v>1.5</v>
      </c>
      <c r="L111" s="200">
        <v>0.75</v>
      </c>
      <c r="M111" s="222">
        <f t="shared" si="31"/>
        <v>7.75</v>
      </c>
      <c r="O111" s="206">
        <f t="shared" ref="O111:O139" si="35">O110+1</f>
        <v>45933</v>
      </c>
      <c r="P111" s="32">
        <f t="shared" si="32"/>
        <v>6</v>
      </c>
      <c r="Q111" s="203">
        <v>12</v>
      </c>
      <c r="R111" s="203">
        <v>4</v>
      </c>
      <c r="S111" s="203">
        <v>0.25</v>
      </c>
      <c r="T111" s="209">
        <f t="shared" si="28"/>
        <v>7.75</v>
      </c>
    </row>
    <row r="112" spans="1:20" ht="15" customHeight="1" thickBot="1" x14ac:dyDescent="0.25">
      <c r="A112" s="206">
        <f t="shared" si="33"/>
        <v>45934</v>
      </c>
      <c r="B112" s="32">
        <f t="shared" si="29"/>
        <v>7</v>
      </c>
      <c r="C112" s="203">
        <v>2</v>
      </c>
      <c r="D112" s="203">
        <v>2</v>
      </c>
      <c r="E112" s="203">
        <v>0</v>
      </c>
      <c r="F112" s="209">
        <f t="shared" si="27"/>
        <v>0</v>
      </c>
      <c r="H112" s="223">
        <f t="shared" si="34"/>
        <v>45904</v>
      </c>
      <c r="I112" s="32">
        <f t="shared" si="30"/>
        <v>5</v>
      </c>
      <c r="J112" s="200">
        <v>7</v>
      </c>
      <c r="K112" s="200">
        <v>2.5</v>
      </c>
      <c r="L112" s="200">
        <v>0</v>
      </c>
      <c r="M112" s="222">
        <f t="shared" si="31"/>
        <v>4.5</v>
      </c>
      <c r="O112" s="206">
        <f t="shared" si="35"/>
        <v>45934</v>
      </c>
      <c r="P112" s="32">
        <f t="shared" si="32"/>
        <v>7</v>
      </c>
      <c r="Q112" s="203">
        <v>9</v>
      </c>
      <c r="R112" s="203">
        <v>4</v>
      </c>
      <c r="S112" s="203">
        <v>0</v>
      </c>
      <c r="T112" s="209">
        <f t="shared" si="28"/>
        <v>5</v>
      </c>
    </row>
    <row r="113" spans="1:20" ht="15" customHeight="1" thickBot="1" x14ac:dyDescent="0.25">
      <c r="A113" s="206">
        <f t="shared" si="33"/>
        <v>45935</v>
      </c>
      <c r="B113" s="32">
        <f t="shared" si="29"/>
        <v>1</v>
      </c>
      <c r="C113" s="203">
        <v>1</v>
      </c>
      <c r="D113" s="203">
        <v>1</v>
      </c>
      <c r="E113" s="203">
        <v>0</v>
      </c>
      <c r="F113" s="209">
        <f t="shared" si="27"/>
        <v>0</v>
      </c>
      <c r="H113" s="223">
        <f t="shared" si="34"/>
        <v>45905</v>
      </c>
      <c r="I113" s="32">
        <f t="shared" si="30"/>
        <v>6</v>
      </c>
      <c r="J113" s="200">
        <v>11</v>
      </c>
      <c r="K113" s="200">
        <v>3.75</v>
      </c>
      <c r="L113" s="200">
        <v>0.5</v>
      </c>
      <c r="M113" s="222">
        <f t="shared" si="31"/>
        <v>6.75</v>
      </c>
      <c r="O113" s="206">
        <f t="shared" si="35"/>
        <v>45935</v>
      </c>
      <c r="P113" s="32">
        <f t="shared" si="32"/>
        <v>1</v>
      </c>
      <c r="Q113" s="203">
        <v>7</v>
      </c>
      <c r="R113" s="203">
        <v>3.75</v>
      </c>
      <c r="S113" s="203">
        <v>0</v>
      </c>
      <c r="T113" s="209">
        <f t="shared" si="28"/>
        <v>3.25</v>
      </c>
    </row>
    <row r="114" spans="1:20" ht="15" customHeight="1" thickBot="1" x14ac:dyDescent="0.25">
      <c r="A114" s="206">
        <f t="shared" si="33"/>
        <v>45936</v>
      </c>
      <c r="B114" s="32">
        <f t="shared" si="29"/>
        <v>2</v>
      </c>
      <c r="C114" s="203">
        <v>7</v>
      </c>
      <c r="D114" s="203">
        <v>1</v>
      </c>
      <c r="E114" s="203">
        <v>0</v>
      </c>
      <c r="F114" s="209">
        <f t="shared" si="27"/>
        <v>6</v>
      </c>
      <c r="H114" s="223">
        <f t="shared" si="34"/>
        <v>45906</v>
      </c>
      <c r="I114" s="32">
        <f t="shared" si="30"/>
        <v>7</v>
      </c>
      <c r="J114" s="200">
        <v>8</v>
      </c>
      <c r="K114" s="200">
        <v>1</v>
      </c>
      <c r="L114" s="200">
        <v>0.25</v>
      </c>
      <c r="M114" s="222">
        <f t="shared" si="31"/>
        <v>6.75</v>
      </c>
      <c r="O114" s="206">
        <f t="shared" si="35"/>
        <v>45936</v>
      </c>
      <c r="P114" s="32">
        <f t="shared" si="32"/>
        <v>2</v>
      </c>
      <c r="Q114" s="203">
        <v>0</v>
      </c>
      <c r="R114" s="203">
        <v>0</v>
      </c>
      <c r="S114" s="203">
        <v>0</v>
      </c>
      <c r="T114" s="209">
        <f t="shared" si="28"/>
        <v>0</v>
      </c>
    </row>
    <row r="115" spans="1:20" ht="15" customHeight="1" thickBot="1" x14ac:dyDescent="0.25">
      <c r="A115" s="206">
        <f t="shared" si="33"/>
        <v>45937</v>
      </c>
      <c r="B115" s="32">
        <f t="shared" si="29"/>
        <v>3</v>
      </c>
      <c r="C115" s="203">
        <v>8</v>
      </c>
      <c r="D115" s="203">
        <v>0.5</v>
      </c>
      <c r="E115" s="203">
        <v>0</v>
      </c>
      <c r="F115" s="209">
        <f t="shared" si="27"/>
        <v>7.5</v>
      </c>
      <c r="H115" s="223">
        <f t="shared" si="34"/>
        <v>45907</v>
      </c>
      <c r="I115" s="32">
        <f t="shared" si="30"/>
        <v>1</v>
      </c>
      <c r="J115" s="200">
        <v>10</v>
      </c>
      <c r="K115" s="200">
        <v>4.5</v>
      </c>
      <c r="L115" s="200">
        <v>0</v>
      </c>
      <c r="M115" s="222">
        <f t="shared" si="31"/>
        <v>5.5</v>
      </c>
      <c r="O115" s="206">
        <f t="shared" si="35"/>
        <v>45937</v>
      </c>
      <c r="P115" s="32">
        <f t="shared" si="32"/>
        <v>3</v>
      </c>
      <c r="Q115" s="203">
        <v>1</v>
      </c>
      <c r="R115" s="203">
        <v>0</v>
      </c>
      <c r="S115" s="203">
        <v>0</v>
      </c>
      <c r="T115" s="209">
        <f t="shared" si="28"/>
        <v>1</v>
      </c>
    </row>
    <row r="116" spans="1:20" ht="15" customHeight="1" thickBot="1" x14ac:dyDescent="0.25">
      <c r="A116" s="206">
        <f t="shared" si="33"/>
        <v>45938</v>
      </c>
      <c r="B116" s="32">
        <f t="shared" si="29"/>
        <v>4</v>
      </c>
      <c r="C116" s="203">
        <v>8</v>
      </c>
      <c r="D116" s="203">
        <v>1</v>
      </c>
      <c r="E116" s="203">
        <v>0</v>
      </c>
      <c r="F116" s="209">
        <f t="shared" si="27"/>
        <v>7</v>
      </c>
      <c r="H116" s="223">
        <f t="shared" si="34"/>
        <v>45908</v>
      </c>
      <c r="I116" s="32">
        <f t="shared" si="30"/>
        <v>2</v>
      </c>
      <c r="J116" s="200">
        <v>0</v>
      </c>
      <c r="K116" s="200">
        <v>0</v>
      </c>
      <c r="L116" s="200">
        <v>0</v>
      </c>
      <c r="M116" s="222">
        <f t="shared" si="31"/>
        <v>0</v>
      </c>
      <c r="O116" s="206">
        <f t="shared" si="35"/>
        <v>45938</v>
      </c>
      <c r="P116" s="32">
        <f t="shared" si="32"/>
        <v>4</v>
      </c>
      <c r="Q116" s="203">
        <v>9</v>
      </c>
      <c r="R116" s="203">
        <v>3</v>
      </c>
      <c r="S116" s="203">
        <v>0</v>
      </c>
      <c r="T116" s="209">
        <f t="shared" si="28"/>
        <v>6</v>
      </c>
    </row>
    <row r="117" spans="1:20" ht="15" customHeight="1" thickBot="1" x14ac:dyDescent="0.25">
      <c r="A117" s="206">
        <f t="shared" si="33"/>
        <v>45939</v>
      </c>
      <c r="B117" s="32">
        <f t="shared" si="29"/>
        <v>5</v>
      </c>
      <c r="C117" s="203">
        <v>8</v>
      </c>
      <c r="D117" s="203">
        <v>1</v>
      </c>
      <c r="E117" s="203">
        <v>0</v>
      </c>
      <c r="F117" s="209">
        <f t="shared" si="27"/>
        <v>7</v>
      </c>
      <c r="H117" s="223">
        <f t="shared" si="34"/>
        <v>45909</v>
      </c>
      <c r="I117" s="32">
        <f t="shared" si="30"/>
        <v>3</v>
      </c>
      <c r="J117" s="200">
        <v>0</v>
      </c>
      <c r="K117" s="200">
        <v>0</v>
      </c>
      <c r="L117" s="200">
        <v>0</v>
      </c>
      <c r="M117" s="222">
        <f t="shared" si="31"/>
        <v>0</v>
      </c>
      <c r="O117" s="206">
        <f t="shared" si="35"/>
        <v>45939</v>
      </c>
      <c r="P117" s="32">
        <f t="shared" si="32"/>
        <v>5</v>
      </c>
      <c r="Q117" s="203">
        <v>9</v>
      </c>
      <c r="R117" s="203">
        <v>1.5</v>
      </c>
      <c r="S117" s="203">
        <v>0</v>
      </c>
      <c r="T117" s="209">
        <f t="shared" si="28"/>
        <v>7.5</v>
      </c>
    </row>
    <row r="118" spans="1:20" ht="15" customHeight="1" thickBot="1" x14ac:dyDescent="0.25">
      <c r="A118" s="206">
        <f t="shared" si="33"/>
        <v>45940</v>
      </c>
      <c r="B118" s="32">
        <f t="shared" si="29"/>
        <v>6</v>
      </c>
      <c r="C118" s="203">
        <v>8</v>
      </c>
      <c r="D118" s="203">
        <v>1</v>
      </c>
      <c r="E118" s="203">
        <v>0</v>
      </c>
      <c r="F118" s="209">
        <f t="shared" si="27"/>
        <v>7</v>
      </c>
      <c r="H118" s="223">
        <f t="shared" si="34"/>
        <v>45910</v>
      </c>
      <c r="I118" s="32">
        <f t="shared" si="30"/>
        <v>4</v>
      </c>
      <c r="J118" s="200">
        <v>0</v>
      </c>
      <c r="K118" s="200">
        <v>0</v>
      </c>
      <c r="L118" s="200">
        <v>0</v>
      </c>
      <c r="M118" s="222">
        <f t="shared" si="31"/>
        <v>0</v>
      </c>
      <c r="O118" s="206">
        <f t="shared" si="35"/>
        <v>45940</v>
      </c>
      <c r="P118" s="32">
        <f t="shared" si="32"/>
        <v>6</v>
      </c>
      <c r="Q118" s="203">
        <v>9</v>
      </c>
      <c r="R118" s="203">
        <v>4.25</v>
      </c>
      <c r="S118" s="203">
        <v>0</v>
      </c>
      <c r="T118" s="209">
        <f t="shared" si="28"/>
        <v>4.75</v>
      </c>
    </row>
    <row r="119" spans="1:20" ht="15" customHeight="1" thickBot="1" x14ac:dyDescent="0.25">
      <c r="A119" s="206">
        <f t="shared" si="33"/>
        <v>45941</v>
      </c>
      <c r="B119" s="32">
        <f t="shared" si="29"/>
        <v>7</v>
      </c>
      <c r="C119" s="203">
        <v>8</v>
      </c>
      <c r="D119" s="203">
        <v>5</v>
      </c>
      <c r="E119" s="203">
        <v>0</v>
      </c>
      <c r="F119" s="209">
        <f t="shared" si="27"/>
        <v>3</v>
      </c>
      <c r="H119" s="223">
        <f t="shared" si="34"/>
        <v>45911</v>
      </c>
      <c r="I119" s="32">
        <f t="shared" si="30"/>
        <v>5</v>
      </c>
      <c r="J119" s="200">
        <v>0</v>
      </c>
      <c r="K119" s="200">
        <v>0</v>
      </c>
      <c r="L119" s="200">
        <v>0</v>
      </c>
      <c r="M119" s="222">
        <f t="shared" si="31"/>
        <v>0</v>
      </c>
      <c r="O119" s="206">
        <f t="shared" si="35"/>
        <v>45941</v>
      </c>
      <c r="P119" s="32">
        <f t="shared" si="32"/>
        <v>7</v>
      </c>
      <c r="Q119" s="203">
        <v>5.25</v>
      </c>
      <c r="R119" s="203">
        <v>2</v>
      </c>
      <c r="S119" s="203">
        <v>0</v>
      </c>
      <c r="T119" s="209">
        <f t="shared" si="28"/>
        <v>3.25</v>
      </c>
    </row>
    <row r="120" spans="1:20" ht="15" customHeight="1" thickBot="1" x14ac:dyDescent="0.25">
      <c r="A120" s="206">
        <f t="shared" si="33"/>
        <v>45942</v>
      </c>
      <c r="B120" s="32">
        <f t="shared" si="29"/>
        <v>1</v>
      </c>
      <c r="C120" s="203">
        <v>0</v>
      </c>
      <c r="D120" s="203">
        <v>0</v>
      </c>
      <c r="E120" s="203">
        <v>0</v>
      </c>
      <c r="F120" s="209">
        <f t="shared" si="27"/>
        <v>0</v>
      </c>
      <c r="H120" s="223">
        <f t="shared" si="34"/>
        <v>45912</v>
      </c>
      <c r="I120" s="32">
        <f t="shared" si="30"/>
        <v>6</v>
      </c>
      <c r="J120" s="200">
        <v>6</v>
      </c>
      <c r="K120" s="200">
        <v>1</v>
      </c>
      <c r="L120" s="200">
        <v>0</v>
      </c>
      <c r="M120" s="222">
        <f t="shared" si="31"/>
        <v>5</v>
      </c>
      <c r="O120" s="206">
        <f t="shared" si="35"/>
        <v>45942</v>
      </c>
      <c r="P120" s="32">
        <f t="shared" si="32"/>
        <v>1</v>
      </c>
      <c r="Q120" s="203">
        <v>10</v>
      </c>
      <c r="R120" s="203">
        <v>2.75</v>
      </c>
      <c r="S120" s="203">
        <v>0</v>
      </c>
      <c r="T120" s="209">
        <f t="shared" si="28"/>
        <v>7.25</v>
      </c>
    </row>
    <row r="121" spans="1:20" ht="15" customHeight="1" thickBot="1" x14ac:dyDescent="0.25">
      <c r="A121" s="206">
        <f t="shared" si="33"/>
        <v>45943</v>
      </c>
      <c r="B121" s="32">
        <f t="shared" si="29"/>
        <v>2</v>
      </c>
      <c r="C121" s="203">
        <v>4</v>
      </c>
      <c r="D121" s="203">
        <v>1</v>
      </c>
      <c r="E121" s="203">
        <v>0</v>
      </c>
      <c r="F121" s="209">
        <f t="shared" si="27"/>
        <v>3</v>
      </c>
      <c r="H121" s="223">
        <f t="shared" si="34"/>
        <v>45913</v>
      </c>
      <c r="I121" s="32">
        <f t="shared" si="30"/>
        <v>7</v>
      </c>
      <c r="J121" s="200">
        <v>8</v>
      </c>
      <c r="K121" s="200">
        <v>3</v>
      </c>
      <c r="L121" s="200">
        <v>0.5</v>
      </c>
      <c r="M121" s="222">
        <f t="shared" si="31"/>
        <v>4.5</v>
      </c>
      <c r="O121" s="206">
        <f t="shared" si="35"/>
        <v>45943</v>
      </c>
      <c r="P121" s="32">
        <f t="shared" si="32"/>
        <v>2</v>
      </c>
      <c r="Q121" s="203">
        <v>0</v>
      </c>
      <c r="R121" s="203">
        <v>0</v>
      </c>
      <c r="S121" s="203">
        <v>0</v>
      </c>
      <c r="T121" s="209">
        <f t="shared" si="28"/>
        <v>0</v>
      </c>
    </row>
    <row r="122" spans="1:20" ht="15" customHeight="1" thickBot="1" x14ac:dyDescent="0.25">
      <c r="A122" s="206">
        <f t="shared" si="33"/>
        <v>45944</v>
      </c>
      <c r="B122" s="32">
        <f t="shared" si="29"/>
        <v>3</v>
      </c>
      <c r="C122" s="203">
        <v>9.25</v>
      </c>
      <c r="D122" s="203">
        <v>2</v>
      </c>
      <c r="E122" s="203">
        <v>0</v>
      </c>
      <c r="F122" s="209">
        <f t="shared" si="27"/>
        <v>7.25</v>
      </c>
      <c r="H122" s="223">
        <f t="shared" si="34"/>
        <v>45914</v>
      </c>
      <c r="I122" s="32">
        <f t="shared" si="30"/>
        <v>1</v>
      </c>
      <c r="J122" s="200">
        <v>6</v>
      </c>
      <c r="K122" s="200">
        <v>0.5</v>
      </c>
      <c r="L122" s="200">
        <v>0</v>
      </c>
      <c r="M122" s="222">
        <f t="shared" si="31"/>
        <v>5.5</v>
      </c>
      <c r="O122" s="206">
        <f t="shared" si="35"/>
        <v>45944</v>
      </c>
      <c r="P122" s="32">
        <f t="shared" si="32"/>
        <v>3</v>
      </c>
      <c r="Q122" s="203">
        <v>0</v>
      </c>
      <c r="R122" s="203">
        <v>0</v>
      </c>
      <c r="S122" s="203">
        <v>0</v>
      </c>
      <c r="T122" s="209">
        <f t="shared" si="28"/>
        <v>0</v>
      </c>
    </row>
    <row r="123" spans="1:20" ht="15" customHeight="1" thickBot="1" x14ac:dyDescent="0.25">
      <c r="A123" s="206">
        <f t="shared" si="33"/>
        <v>45945</v>
      </c>
      <c r="B123" s="32">
        <f t="shared" si="29"/>
        <v>4</v>
      </c>
      <c r="C123" s="203">
        <v>10</v>
      </c>
      <c r="D123" s="203">
        <v>4.5</v>
      </c>
      <c r="E123" s="203">
        <v>0</v>
      </c>
      <c r="F123" s="209">
        <f t="shared" si="27"/>
        <v>5.5</v>
      </c>
      <c r="H123" s="223">
        <f t="shared" si="34"/>
        <v>45915</v>
      </c>
      <c r="I123" s="32">
        <f t="shared" si="30"/>
        <v>2</v>
      </c>
      <c r="J123" s="200">
        <v>0</v>
      </c>
      <c r="K123" s="200">
        <v>0</v>
      </c>
      <c r="L123" s="200">
        <v>0</v>
      </c>
      <c r="M123" s="222">
        <f t="shared" si="31"/>
        <v>0</v>
      </c>
      <c r="O123" s="206">
        <f t="shared" si="35"/>
        <v>45945</v>
      </c>
      <c r="P123" s="32">
        <f t="shared" si="32"/>
        <v>4</v>
      </c>
      <c r="Q123" s="203"/>
      <c r="R123" s="203"/>
      <c r="S123" s="203"/>
      <c r="T123" s="209" t="str">
        <f t="shared" si="28"/>
        <v xml:space="preserve"> </v>
      </c>
    </row>
    <row r="124" spans="1:20" ht="15" customHeight="1" thickBot="1" x14ac:dyDescent="0.25">
      <c r="A124" s="206">
        <f t="shared" si="33"/>
        <v>45946</v>
      </c>
      <c r="B124" s="32">
        <f t="shared" si="29"/>
        <v>5</v>
      </c>
      <c r="C124" s="203">
        <v>5</v>
      </c>
      <c r="D124" s="203">
        <v>1.5</v>
      </c>
      <c r="E124" s="203">
        <v>0</v>
      </c>
      <c r="F124" s="209">
        <f t="shared" si="27"/>
        <v>3.5</v>
      </c>
      <c r="H124" s="223">
        <f t="shared" si="34"/>
        <v>45916</v>
      </c>
      <c r="I124" s="32">
        <f t="shared" si="30"/>
        <v>3</v>
      </c>
      <c r="J124" s="200">
        <v>3.5</v>
      </c>
      <c r="K124" s="200">
        <v>0</v>
      </c>
      <c r="L124" s="200">
        <v>1</v>
      </c>
      <c r="M124" s="222">
        <f t="shared" si="31"/>
        <v>2.5</v>
      </c>
      <c r="O124" s="206">
        <f t="shared" si="35"/>
        <v>45946</v>
      </c>
      <c r="P124" s="32">
        <f t="shared" si="32"/>
        <v>5</v>
      </c>
      <c r="Q124" s="203"/>
      <c r="R124" s="203"/>
      <c r="S124" s="203"/>
      <c r="T124" s="209" t="str">
        <f t="shared" si="28"/>
        <v xml:space="preserve"> </v>
      </c>
    </row>
    <row r="125" spans="1:20" ht="15" customHeight="1" thickBot="1" x14ac:dyDescent="0.25">
      <c r="A125" s="206">
        <f t="shared" si="33"/>
        <v>45947</v>
      </c>
      <c r="B125" s="32">
        <f t="shared" si="29"/>
        <v>6</v>
      </c>
      <c r="C125" s="203">
        <v>0</v>
      </c>
      <c r="D125" s="203">
        <v>0</v>
      </c>
      <c r="E125" s="203">
        <v>0</v>
      </c>
      <c r="F125" s="209">
        <f t="shared" si="27"/>
        <v>0</v>
      </c>
      <c r="H125" s="223">
        <f t="shared" si="34"/>
        <v>45917</v>
      </c>
      <c r="I125" s="32">
        <f t="shared" si="30"/>
        <v>4</v>
      </c>
      <c r="J125" s="200">
        <v>8</v>
      </c>
      <c r="K125" s="200">
        <v>1</v>
      </c>
      <c r="L125" s="200">
        <v>0</v>
      </c>
      <c r="M125" s="222">
        <f t="shared" si="31"/>
        <v>7</v>
      </c>
      <c r="O125" s="206">
        <f t="shared" si="35"/>
        <v>45947</v>
      </c>
      <c r="P125" s="32">
        <f t="shared" si="32"/>
        <v>6</v>
      </c>
      <c r="Q125" s="203"/>
      <c r="R125" s="203"/>
      <c r="S125" s="203"/>
      <c r="T125" s="209" t="str">
        <f t="shared" si="28"/>
        <v xml:space="preserve"> </v>
      </c>
    </row>
    <row r="126" spans="1:20" ht="15" customHeight="1" thickBot="1" x14ac:dyDescent="0.25">
      <c r="A126" s="206">
        <f t="shared" si="33"/>
        <v>45948</v>
      </c>
      <c r="B126" s="32">
        <f t="shared" si="29"/>
        <v>7</v>
      </c>
      <c r="C126" s="203">
        <v>1</v>
      </c>
      <c r="D126" s="203">
        <v>0</v>
      </c>
      <c r="E126" s="203">
        <v>1</v>
      </c>
      <c r="F126" s="209">
        <f t="shared" si="27"/>
        <v>0</v>
      </c>
      <c r="H126" s="223">
        <f t="shared" si="34"/>
        <v>45918</v>
      </c>
      <c r="I126" s="32">
        <f t="shared" si="30"/>
        <v>5</v>
      </c>
      <c r="J126" s="200">
        <v>5</v>
      </c>
      <c r="K126" s="200">
        <v>1.5</v>
      </c>
      <c r="L126" s="200">
        <v>0</v>
      </c>
      <c r="M126" s="222">
        <f t="shared" si="31"/>
        <v>3.5</v>
      </c>
      <c r="O126" s="206">
        <f t="shared" si="35"/>
        <v>45948</v>
      </c>
      <c r="P126" s="32">
        <f t="shared" si="32"/>
        <v>7</v>
      </c>
      <c r="Q126" s="203"/>
      <c r="R126" s="203"/>
      <c r="S126" s="203"/>
      <c r="T126" s="209" t="str">
        <f t="shared" si="28"/>
        <v xml:space="preserve"> </v>
      </c>
    </row>
    <row r="127" spans="1:20" ht="15" customHeight="1" thickBot="1" x14ac:dyDescent="0.25">
      <c r="A127" s="206">
        <f t="shared" si="33"/>
        <v>45949</v>
      </c>
      <c r="B127" s="32">
        <f t="shared" si="29"/>
        <v>1</v>
      </c>
      <c r="C127" s="203">
        <v>1</v>
      </c>
      <c r="D127" s="203">
        <v>0</v>
      </c>
      <c r="E127" s="203">
        <v>1</v>
      </c>
      <c r="F127" s="209">
        <f t="shared" si="27"/>
        <v>0</v>
      </c>
      <c r="H127" s="223">
        <f t="shared" si="34"/>
        <v>45919</v>
      </c>
      <c r="I127" s="32">
        <f t="shared" si="30"/>
        <v>6</v>
      </c>
      <c r="J127" s="200">
        <v>7</v>
      </c>
      <c r="K127" s="200">
        <v>2.5</v>
      </c>
      <c r="L127" s="200">
        <v>0</v>
      </c>
      <c r="M127" s="222">
        <f t="shared" si="31"/>
        <v>4.5</v>
      </c>
      <c r="O127" s="206">
        <f t="shared" si="35"/>
        <v>45949</v>
      </c>
      <c r="P127" s="32">
        <f t="shared" si="32"/>
        <v>1</v>
      </c>
      <c r="Q127" s="203"/>
      <c r="R127" s="203"/>
      <c r="S127" s="203"/>
      <c r="T127" s="209" t="str">
        <f t="shared" si="28"/>
        <v xml:space="preserve"> </v>
      </c>
    </row>
    <row r="128" spans="1:20" ht="15" customHeight="1" thickBot="1" x14ac:dyDescent="0.25">
      <c r="A128" s="206">
        <f t="shared" si="33"/>
        <v>45950</v>
      </c>
      <c r="B128" s="32">
        <f t="shared" si="29"/>
        <v>2</v>
      </c>
      <c r="C128" s="203">
        <v>8</v>
      </c>
      <c r="D128" s="203">
        <v>2</v>
      </c>
      <c r="E128" s="203">
        <v>0</v>
      </c>
      <c r="F128" s="209">
        <f t="shared" si="27"/>
        <v>6</v>
      </c>
      <c r="H128" s="223">
        <f t="shared" si="34"/>
        <v>45920</v>
      </c>
      <c r="I128" s="32">
        <f t="shared" si="30"/>
        <v>7</v>
      </c>
      <c r="J128" s="200">
        <v>11</v>
      </c>
      <c r="K128" s="200">
        <v>3.5</v>
      </c>
      <c r="L128" s="200">
        <v>0</v>
      </c>
      <c r="M128" s="222">
        <f t="shared" si="31"/>
        <v>7.5</v>
      </c>
      <c r="O128" s="206">
        <f t="shared" si="35"/>
        <v>45950</v>
      </c>
      <c r="P128" s="32">
        <f t="shared" si="32"/>
        <v>2</v>
      </c>
      <c r="Q128" s="203"/>
      <c r="R128" s="203"/>
      <c r="S128" s="203"/>
      <c r="T128" s="209" t="str">
        <f t="shared" si="28"/>
        <v xml:space="preserve"> </v>
      </c>
    </row>
    <row r="129" spans="1:20" ht="15" customHeight="1" thickBot="1" x14ac:dyDescent="0.25">
      <c r="A129" s="206">
        <f t="shared" si="33"/>
        <v>45951</v>
      </c>
      <c r="B129" s="32">
        <f t="shared" si="29"/>
        <v>3</v>
      </c>
      <c r="C129" s="203">
        <v>9</v>
      </c>
      <c r="D129" s="203">
        <v>2</v>
      </c>
      <c r="E129" s="203">
        <v>0</v>
      </c>
      <c r="F129" s="209">
        <f t="shared" si="27"/>
        <v>7</v>
      </c>
      <c r="H129" s="223">
        <f t="shared" si="34"/>
        <v>45921</v>
      </c>
      <c r="I129" s="32">
        <f t="shared" si="30"/>
        <v>1</v>
      </c>
      <c r="J129" s="200">
        <v>4</v>
      </c>
      <c r="K129" s="200">
        <v>2</v>
      </c>
      <c r="L129" s="200">
        <v>0</v>
      </c>
      <c r="M129" s="222">
        <f t="shared" si="31"/>
        <v>2</v>
      </c>
      <c r="O129" s="206">
        <f t="shared" si="35"/>
        <v>45951</v>
      </c>
      <c r="P129" s="32">
        <f t="shared" si="32"/>
        <v>3</v>
      </c>
      <c r="Q129" s="203"/>
      <c r="R129" s="203"/>
      <c r="S129" s="203"/>
      <c r="T129" s="209" t="str">
        <f t="shared" si="28"/>
        <v xml:space="preserve"> </v>
      </c>
    </row>
    <row r="130" spans="1:20" ht="15" customHeight="1" thickBot="1" x14ac:dyDescent="0.25">
      <c r="A130" s="206">
        <f t="shared" si="33"/>
        <v>45952</v>
      </c>
      <c r="B130" s="32">
        <f t="shared" si="29"/>
        <v>4</v>
      </c>
      <c r="C130" s="203">
        <v>5</v>
      </c>
      <c r="D130" s="203">
        <v>1.5</v>
      </c>
      <c r="E130" s="203">
        <v>0</v>
      </c>
      <c r="F130" s="209">
        <f t="shared" si="27"/>
        <v>3.5</v>
      </c>
      <c r="H130" s="223">
        <f t="shared" si="34"/>
        <v>45922</v>
      </c>
      <c r="I130" s="32">
        <f t="shared" si="30"/>
        <v>2</v>
      </c>
      <c r="J130" s="200">
        <v>0.25</v>
      </c>
      <c r="K130" s="200">
        <v>0.25</v>
      </c>
      <c r="L130" s="200">
        <v>0</v>
      </c>
      <c r="M130" s="222">
        <f t="shared" si="31"/>
        <v>0</v>
      </c>
      <c r="O130" s="206">
        <f t="shared" si="35"/>
        <v>45952</v>
      </c>
      <c r="P130" s="32">
        <f t="shared" si="32"/>
        <v>4</v>
      </c>
      <c r="Q130" s="203"/>
      <c r="R130" s="203"/>
      <c r="S130" s="203"/>
      <c r="T130" s="209" t="str">
        <f t="shared" si="28"/>
        <v xml:space="preserve"> </v>
      </c>
    </row>
    <row r="131" spans="1:20" ht="15" customHeight="1" thickBot="1" x14ac:dyDescent="0.25">
      <c r="A131" s="206">
        <f t="shared" si="33"/>
        <v>45953</v>
      </c>
      <c r="B131" s="32">
        <f t="shared" si="29"/>
        <v>5</v>
      </c>
      <c r="C131" s="203">
        <v>5</v>
      </c>
      <c r="D131" s="203">
        <v>1.5</v>
      </c>
      <c r="E131" s="203">
        <v>0</v>
      </c>
      <c r="F131" s="209">
        <f t="shared" si="27"/>
        <v>3.5</v>
      </c>
      <c r="H131" s="223">
        <f t="shared" si="34"/>
        <v>45923</v>
      </c>
      <c r="I131" s="32">
        <f t="shared" si="30"/>
        <v>3</v>
      </c>
      <c r="J131" s="200">
        <v>2</v>
      </c>
      <c r="K131" s="200">
        <v>0.25</v>
      </c>
      <c r="L131" s="200">
        <v>1</v>
      </c>
      <c r="M131" s="222">
        <f t="shared" si="31"/>
        <v>0.75</v>
      </c>
      <c r="O131" s="206">
        <f t="shared" si="35"/>
        <v>45953</v>
      </c>
      <c r="P131" s="32">
        <f t="shared" si="32"/>
        <v>5</v>
      </c>
      <c r="Q131" s="203"/>
      <c r="R131" s="203"/>
      <c r="S131" s="203"/>
      <c r="T131" s="209" t="str">
        <f t="shared" si="28"/>
        <v xml:space="preserve"> </v>
      </c>
    </row>
    <row r="132" spans="1:20" ht="15" customHeight="1" thickBot="1" x14ac:dyDescent="0.25">
      <c r="A132" s="206">
        <f t="shared" si="33"/>
        <v>45954</v>
      </c>
      <c r="B132" s="32">
        <f t="shared" si="29"/>
        <v>6</v>
      </c>
      <c r="C132" s="203">
        <v>8</v>
      </c>
      <c r="D132" s="203">
        <v>1.5</v>
      </c>
      <c r="E132" s="203">
        <v>0</v>
      </c>
      <c r="F132" s="209">
        <f t="shared" si="27"/>
        <v>6.5</v>
      </c>
      <c r="H132" s="223">
        <f t="shared" si="34"/>
        <v>45924</v>
      </c>
      <c r="I132" s="32">
        <f t="shared" si="30"/>
        <v>4</v>
      </c>
      <c r="J132" s="200">
        <v>0</v>
      </c>
      <c r="K132" s="200">
        <v>0</v>
      </c>
      <c r="L132" s="200">
        <v>0</v>
      </c>
      <c r="M132" s="222">
        <f t="shared" si="31"/>
        <v>0</v>
      </c>
      <c r="O132" s="206">
        <f t="shared" si="35"/>
        <v>45954</v>
      </c>
      <c r="P132" s="32">
        <f t="shared" si="32"/>
        <v>6</v>
      </c>
      <c r="Q132" s="203"/>
      <c r="R132" s="203"/>
      <c r="S132" s="203"/>
      <c r="T132" s="209" t="str">
        <f t="shared" si="28"/>
        <v xml:space="preserve"> </v>
      </c>
    </row>
    <row r="133" spans="1:20" ht="15" customHeight="1" thickBot="1" x14ac:dyDescent="0.25">
      <c r="A133" s="206">
        <f t="shared" si="33"/>
        <v>45955</v>
      </c>
      <c r="B133" s="32">
        <f t="shared" si="29"/>
        <v>7</v>
      </c>
      <c r="C133" s="203">
        <v>0</v>
      </c>
      <c r="D133" s="203">
        <v>0</v>
      </c>
      <c r="E133" s="203">
        <v>0</v>
      </c>
      <c r="F133" s="209">
        <f t="shared" si="27"/>
        <v>0</v>
      </c>
      <c r="H133" s="223">
        <f t="shared" si="34"/>
        <v>45925</v>
      </c>
      <c r="I133" s="32">
        <f t="shared" si="30"/>
        <v>5</v>
      </c>
      <c r="J133" s="200">
        <v>0</v>
      </c>
      <c r="K133" s="200">
        <v>0</v>
      </c>
      <c r="L133" s="200">
        <v>0</v>
      </c>
      <c r="M133" s="222">
        <f t="shared" si="31"/>
        <v>0</v>
      </c>
      <c r="O133" s="206">
        <f t="shared" si="35"/>
        <v>45955</v>
      </c>
      <c r="P133" s="32">
        <f t="shared" si="32"/>
        <v>7</v>
      </c>
      <c r="Q133" s="203"/>
      <c r="R133" s="203"/>
      <c r="S133" s="203"/>
      <c r="T133" s="209" t="str">
        <f t="shared" si="28"/>
        <v xml:space="preserve"> </v>
      </c>
    </row>
    <row r="134" spans="1:20" ht="15" customHeight="1" thickBot="1" x14ac:dyDescent="0.25">
      <c r="A134" s="206">
        <f t="shared" si="33"/>
        <v>45956</v>
      </c>
      <c r="B134" s="32">
        <f t="shared" si="29"/>
        <v>1</v>
      </c>
      <c r="C134" s="203">
        <v>0</v>
      </c>
      <c r="D134" s="203">
        <v>0</v>
      </c>
      <c r="E134" s="203">
        <v>0</v>
      </c>
      <c r="F134" s="209">
        <f t="shared" si="27"/>
        <v>0</v>
      </c>
      <c r="H134" s="223">
        <f t="shared" si="34"/>
        <v>45926</v>
      </c>
      <c r="I134" s="32">
        <f t="shared" si="30"/>
        <v>6</v>
      </c>
      <c r="J134" s="200">
        <v>0</v>
      </c>
      <c r="K134" s="200">
        <v>0</v>
      </c>
      <c r="L134" s="200">
        <v>0</v>
      </c>
      <c r="M134" s="222">
        <f t="shared" si="31"/>
        <v>0</v>
      </c>
      <c r="O134" s="206">
        <f t="shared" si="35"/>
        <v>45956</v>
      </c>
      <c r="P134" s="32">
        <f t="shared" si="32"/>
        <v>1</v>
      </c>
      <c r="Q134" s="203"/>
      <c r="R134" s="203"/>
      <c r="S134" s="203"/>
      <c r="T134" s="209" t="str">
        <f t="shared" si="28"/>
        <v xml:space="preserve"> </v>
      </c>
    </row>
    <row r="135" spans="1:20" ht="15" customHeight="1" thickBot="1" x14ac:dyDescent="0.25">
      <c r="A135" s="206">
        <f t="shared" si="33"/>
        <v>45957</v>
      </c>
      <c r="B135" s="32">
        <f t="shared" si="29"/>
        <v>2</v>
      </c>
      <c r="C135" s="203">
        <v>7.5</v>
      </c>
      <c r="D135" s="203">
        <v>1.75</v>
      </c>
      <c r="E135" s="203">
        <v>0.5</v>
      </c>
      <c r="F135" s="209">
        <f t="shared" si="27"/>
        <v>5.25</v>
      </c>
      <c r="H135" s="223">
        <f t="shared" si="34"/>
        <v>45927</v>
      </c>
      <c r="I135" s="32">
        <f t="shared" si="30"/>
        <v>7</v>
      </c>
      <c r="J135" s="200">
        <v>0</v>
      </c>
      <c r="K135" s="200">
        <v>0</v>
      </c>
      <c r="L135" s="200">
        <v>0</v>
      </c>
      <c r="M135" s="222">
        <f t="shared" si="31"/>
        <v>0</v>
      </c>
      <c r="O135" s="206">
        <f t="shared" si="35"/>
        <v>45957</v>
      </c>
      <c r="P135" s="32">
        <f t="shared" si="32"/>
        <v>2</v>
      </c>
      <c r="Q135" s="203"/>
      <c r="R135" s="203"/>
      <c r="S135" s="203"/>
      <c r="T135" s="209" t="str">
        <f t="shared" si="28"/>
        <v xml:space="preserve"> </v>
      </c>
    </row>
    <row r="136" spans="1:20" ht="15" customHeight="1" thickBot="1" x14ac:dyDescent="0.25">
      <c r="A136" s="206">
        <f t="shared" si="33"/>
        <v>45958</v>
      </c>
      <c r="B136" s="32">
        <f t="shared" si="29"/>
        <v>3</v>
      </c>
      <c r="C136" s="203">
        <v>2.5499999999999998</v>
      </c>
      <c r="D136" s="203">
        <v>1.45</v>
      </c>
      <c r="E136" s="203">
        <v>0</v>
      </c>
      <c r="F136" s="209">
        <f t="shared" si="27"/>
        <v>1.0999999999999999</v>
      </c>
      <c r="H136" s="223">
        <f t="shared" si="34"/>
        <v>45928</v>
      </c>
      <c r="I136" s="32">
        <f t="shared" si="30"/>
        <v>1</v>
      </c>
      <c r="J136" s="200">
        <v>0</v>
      </c>
      <c r="K136" s="200">
        <v>0</v>
      </c>
      <c r="L136" s="200">
        <v>0</v>
      </c>
      <c r="M136" s="222">
        <f t="shared" si="31"/>
        <v>0</v>
      </c>
      <c r="O136" s="206">
        <f t="shared" si="35"/>
        <v>45958</v>
      </c>
      <c r="P136" s="32">
        <f t="shared" si="32"/>
        <v>3</v>
      </c>
      <c r="Q136" s="203"/>
      <c r="R136" s="203"/>
      <c r="S136" s="203"/>
      <c r="T136" s="209" t="str">
        <f t="shared" si="28"/>
        <v xml:space="preserve"> </v>
      </c>
    </row>
    <row r="137" spans="1:20" ht="15" customHeight="1" thickBot="1" x14ac:dyDescent="0.25">
      <c r="A137" s="206">
        <f t="shared" si="33"/>
        <v>45959</v>
      </c>
      <c r="B137" s="32">
        <f t="shared" si="29"/>
        <v>4</v>
      </c>
      <c r="C137" s="203">
        <v>9</v>
      </c>
      <c r="D137" s="203">
        <v>1.75</v>
      </c>
      <c r="E137" s="203">
        <v>0</v>
      </c>
      <c r="F137" s="209">
        <f t="shared" si="27"/>
        <v>7.25</v>
      </c>
      <c r="H137" s="223">
        <f t="shared" si="34"/>
        <v>45929</v>
      </c>
      <c r="I137" s="32">
        <f t="shared" si="30"/>
        <v>2</v>
      </c>
      <c r="J137" s="200">
        <v>0</v>
      </c>
      <c r="K137" s="200">
        <v>0</v>
      </c>
      <c r="L137" s="200">
        <v>0</v>
      </c>
      <c r="M137" s="222">
        <f t="shared" si="31"/>
        <v>0</v>
      </c>
      <c r="O137" s="206">
        <f t="shared" si="35"/>
        <v>45959</v>
      </c>
      <c r="P137" s="32">
        <f t="shared" si="32"/>
        <v>4</v>
      </c>
      <c r="Q137" s="203"/>
      <c r="R137" s="203"/>
      <c r="S137" s="203"/>
      <c r="T137" s="209" t="str">
        <f t="shared" si="28"/>
        <v xml:space="preserve"> </v>
      </c>
    </row>
    <row r="138" spans="1:20" ht="15" customHeight="1" thickBot="1" x14ac:dyDescent="0.25">
      <c r="A138" s="206">
        <f t="shared" si="33"/>
        <v>45960</v>
      </c>
      <c r="B138" s="32">
        <f t="shared" si="29"/>
        <v>5</v>
      </c>
      <c r="C138" s="203">
        <v>8</v>
      </c>
      <c r="D138" s="203">
        <v>1.5</v>
      </c>
      <c r="E138" s="203">
        <v>0.5</v>
      </c>
      <c r="F138" s="209">
        <f t="shared" si="27"/>
        <v>6</v>
      </c>
      <c r="H138" s="224">
        <f t="shared" si="34"/>
        <v>45930</v>
      </c>
      <c r="I138" s="40">
        <f t="shared" si="30"/>
        <v>3</v>
      </c>
      <c r="J138" s="201">
        <v>0</v>
      </c>
      <c r="K138" s="201">
        <v>0</v>
      </c>
      <c r="L138" s="201">
        <v>0</v>
      </c>
      <c r="M138" s="225">
        <f t="shared" si="31"/>
        <v>0</v>
      </c>
      <c r="O138" s="206">
        <f t="shared" si="35"/>
        <v>45960</v>
      </c>
      <c r="P138" s="32">
        <f t="shared" si="32"/>
        <v>5</v>
      </c>
      <c r="Q138" s="203"/>
      <c r="R138" s="203"/>
      <c r="S138" s="203"/>
      <c r="T138" s="209" t="str">
        <f t="shared" si="28"/>
        <v xml:space="preserve"> </v>
      </c>
    </row>
    <row r="139" spans="1:20" ht="15" customHeight="1" thickBot="1" x14ac:dyDescent="0.25">
      <c r="A139" s="207">
        <f t="shared" si="33"/>
        <v>45961</v>
      </c>
      <c r="B139" s="208">
        <f t="shared" si="29"/>
        <v>6</v>
      </c>
      <c r="C139" s="204">
        <v>5</v>
      </c>
      <c r="D139" s="204">
        <v>2.5</v>
      </c>
      <c r="E139" s="204">
        <v>0.25</v>
      </c>
      <c r="F139" s="210">
        <f t="shared" si="27"/>
        <v>2.25</v>
      </c>
      <c r="O139" s="207">
        <f t="shared" si="35"/>
        <v>45961</v>
      </c>
      <c r="P139" s="208">
        <f t="shared" si="32"/>
        <v>6</v>
      </c>
      <c r="Q139" s="204"/>
      <c r="R139" s="204"/>
      <c r="S139" s="204"/>
      <c r="T139" s="210" t="str">
        <f t="shared" si="28"/>
        <v xml:space="preserve"> </v>
      </c>
    </row>
  </sheetData>
  <sheetProtection algorithmName="SHA-512" hashValue="Jo2/rwF0IhCAIiPyqEdzUD/6CwyOon4o3k1Z31CvWx5v38PZkPrW94rXDmu/8bZKtQuomcH5eFohbci3ZBmP/w==" saltValue="9GCippZwhH4k/fnfg+64QA==" spinCount="100000" sheet="1" selectLockedCells="1"/>
  <mergeCells count="14">
    <mergeCell ref="X17:Y17"/>
    <mergeCell ref="Y20:Y21"/>
    <mergeCell ref="A2:F2"/>
    <mergeCell ref="H2:M2"/>
    <mergeCell ref="O2:T2"/>
    <mergeCell ref="O37:T37"/>
    <mergeCell ref="A72:F72"/>
    <mergeCell ref="H72:M72"/>
    <mergeCell ref="O72:T72"/>
    <mergeCell ref="A107:F107"/>
    <mergeCell ref="O107:T107"/>
    <mergeCell ref="H107:M107"/>
    <mergeCell ref="A37:F37"/>
    <mergeCell ref="H37:M37"/>
  </mergeCells>
  <phoneticPr fontId="2" type="noConversion"/>
  <conditionalFormatting sqref="C4:E34">
    <cfRule type="expression" dxfId="12" priority="20" stopIfTrue="1">
      <formula>IF(AND(NOT(ISNUMBER(C4)),NOT(ISBLANK(C4))),TRUE,FALSE)</formula>
    </cfRule>
  </conditionalFormatting>
  <conditionalFormatting sqref="C74:E104">
    <cfRule type="expression" dxfId="11" priority="10" stopIfTrue="1">
      <formula>IF(AND(NOT(ISNUMBER(C74)),NOT(ISBLANK(C74))),TRUE,FALSE)</formula>
    </cfRule>
  </conditionalFormatting>
  <conditionalFormatting sqref="C139:E139">
    <cfRule type="expression" dxfId="10" priority="2" stopIfTrue="1">
      <formula>IF(AND(NOT(ISNUMBER(C139)),NOT(ISBLANK(C139))),TRUE,FALSE)</formula>
    </cfRule>
  </conditionalFormatting>
  <conditionalFormatting sqref="C36:F36">
    <cfRule type="cellIs" dxfId="9" priority="21" stopIfTrue="1" operator="equal">
      <formula>"ERROR"</formula>
    </cfRule>
  </conditionalFormatting>
  <conditionalFormatting sqref="J4:L34">
    <cfRule type="expression" dxfId="8" priority="13" stopIfTrue="1">
      <formula>IF(AND(NOT(ISNUMBER(J4)),NOT(ISBLANK(J4))),TRUE,FALSE)</formula>
    </cfRule>
  </conditionalFormatting>
  <conditionalFormatting sqref="J39:L69">
    <cfRule type="expression" dxfId="7" priority="4" stopIfTrue="1">
      <formula>IF(AND(NOT(ISNUMBER(J39)),NOT(ISBLANK(J39))),TRUE,FALSE)</formula>
    </cfRule>
  </conditionalFormatting>
  <conditionalFormatting sqref="J74:L104">
    <cfRule type="expression" dxfId="6" priority="9" stopIfTrue="1">
      <formula>IF(AND(NOT(ISNUMBER(J74)),NOT(ISBLANK(J74))),TRUE,FALSE)</formula>
    </cfRule>
  </conditionalFormatting>
  <conditionalFormatting sqref="J138:L138">
    <cfRule type="expression" dxfId="5" priority="3" stopIfTrue="1">
      <formula>IF(AND(NOT(ISNUMBER(J138)),NOT(ISBLANK(J138))),TRUE,FALSE)</formula>
    </cfRule>
  </conditionalFormatting>
  <conditionalFormatting sqref="J36:M36">
    <cfRule type="cellIs" dxfId="4" priority="16" stopIfTrue="1" operator="equal">
      <formula>"ERROR"</formula>
    </cfRule>
  </conditionalFormatting>
  <conditionalFormatting sqref="Q74:S104">
    <cfRule type="expression" dxfId="3" priority="8" stopIfTrue="1">
      <formula>IF(AND(NOT(ISNUMBER(Q74)),NOT(ISBLANK(Q74))),TRUE,FALSE)</formula>
    </cfRule>
  </conditionalFormatting>
  <conditionalFormatting sqref="Q139:S139">
    <cfRule type="expression" dxfId="2" priority="1" stopIfTrue="1">
      <formula>IF(AND(NOT(ISNUMBER(Q139)),NOT(ISBLANK(Q139))),TRUE,FALSE)</formula>
    </cfRule>
  </conditionalFormatting>
  <conditionalFormatting sqref="Q36:T36">
    <cfRule type="cellIs" dxfId="1" priority="15" stopIfTrue="1" operator="equal">
      <formula>"ERROR"</formula>
    </cfRule>
  </conditionalFormatting>
  <conditionalFormatting sqref="W36:Z36">
    <cfRule type="cellIs" dxfId="0" priority="14" stopIfTrue="1" operator="equal">
      <formula>"ERROR"</formula>
    </cfRule>
  </conditionalFormatting>
  <pageMargins left="0.75" right="0.5" top="1.32" bottom="0.6" header="0.5" footer="0.5"/>
  <pageSetup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pageSetUpPr fitToPage="1"/>
  </sheetPr>
  <dimension ref="A1:X60"/>
  <sheetViews>
    <sheetView showGridLines="0" showRowColHeaders="0" zoomScale="169" zoomScaleNormal="125" workbookViewId="0">
      <selection activeCell="H2" sqref="H2:N12"/>
    </sheetView>
  </sheetViews>
  <sheetFormatPr baseColWidth="10" defaultColWidth="9.1640625" defaultRowHeight="14" x14ac:dyDescent="0.15"/>
  <cols>
    <col min="1" max="1" width="9.1640625" style="60"/>
    <col min="2" max="5" width="16" style="60" customWidth="1"/>
    <col min="6" max="15" width="11.33203125" style="60" customWidth="1"/>
    <col min="16" max="19" width="8.6640625" style="60" customWidth="1"/>
    <col min="20" max="20" width="9.1640625" style="60"/>
    <col min="21" max="21" width="9.1640625" style="60" customWidth="1"/>
    <col min="22" max="22" width="10.1640625" style="60" bestFit="1" customWidth="1"/>
    <col min="23" max="23" width="10.1640625" style="60" customWidth="1"/>
    <col min="24" max="16384" width="9.1640625" style="60"/>
  </cols>
  <sheetData>
    <row r="1" spans="2:24" ht="30" customHeight="1" thickBot="1" x14ac:dyDescent="0.2">
      <c r="C1" s="696" t="s">
        <v>385</v>
      </c>
    </row>
    <row r="2" spans="2:24" ht="40.5" customHeight="1" x14ac:dyDescent="0.15">
      <c r="B2" s="370" t="s">
        <v>41</v>
      </c>
      <c r="C2" s="582">
        <v>2025</v>
      </c>
      <c r="D2" s="371"/>
      <c r="E2" s="372" t="s">
        <v>43</v>
      </c>
      <c r="F2" s="373">
        <f>SUM(U3:U14)</f>
        <v>296</v>
      </c>
      <c r="H2" s="837" t="s">
        <v>587</v>
      </c>
      <c r="I2" s="838"/>
      <c r="J2" s="838"/>
      <c r="K2" s="838"/>
      <c r="L2" s="838"/>
      <c r="M2" s="838"/>
      <c r="N2" s="839"/>
      <c r="P2" s="395" t="s">
        <v>197</v>
      </c>
      <c r="Q2" s="61" t="s">
        <v>0</v>
      </c>
      <c r="R2" s="61" t="s">
        <v>1</v>
      </c>
      <c r="S2" s="62" t="s">
        <v>2</v>
      </c>
      <c r="T2" s="88" t="s">
        <v>97</v>
      </c>
      <c r="U2" s="90" t="s">
        <v>198</v>
      </c>
      <c r="V2" s="91" t="s">
        <v>201</v>
      </c>
      <c r="W2" s="574" t="s">
        <v>339</v>
      </c>
      <c r="X2" s="695" t="s">
        <v>42</v>
      </c>
    </row>
    <row r="3" spans="2:24" ht="13.5" customHeight="1" x14ac:dyDescent="0.15">
      <c r="B3" s="374"/>
      <c r="D3" s="64"/>
      <c r="F3" s="375"/>
      <c r="H3" s="840"/>
      <c r="I3" s="841"/>
      <c r="J3" s="841"/>
      <c r="K3" s="841"/>
      <c r="L3" s="841"/>
      <c r="M3" s="841"/>
      <c r="N3" s="842"/>
      <c r="P3" s="65" t="s">
        <v>35</v>
      </c>
      <c r="Q3" s="66">
        <f>'PIE Tracker'!AD4</f>
        <v>228.58332999999999</v>
      </c>
      <c r="R3" s="66">
        <f>'PIE Tracker'!AE4</f>
        <v>61.24</v>
      </c>
      <c r="S3" s="66">
        <f>'PIE Tracker'!AF4</f>
        <v>23.75</v>
      </c>
      <c r="T3" s="89">
        <f>'PIE Tracker'!AG4</f>
        <v>143.59333000000001</v>
      </c>
      <c r="U3" s="303">
        <f>'PIE Tracker'!AH4</f>
        <v>31</v>
      </c>
      <c r="V3" s="304">
        <f>'Closed Transactions'!Q66+'Closed Transactions'!R66</f>
        <v>10370</v>
      </c>
      <c r="W3" s="575">
        <f>SUMIF('Business Tracker'!$AA$6:$AA$67,MONTH(DATEVALUE(P3 &amp;" 1")),'Business Tracker'!$AF$6:$AF$67)</f>
        <v>15250</v>
      </c>
      <c r="X3" s="695">
        <v>1</v>
      </c>
    </row>
    <row r="4" spans="2:24" ht="13.5" customHeight="1" x14ac:dyDescent="0.15">
      <c r="B4" s="376"/>
      <c r="F4" s="375"/>
      <c r="H4" s="840"/>
      <c r="I4" s="841"/>
      <c r="J4" s="841"/>
      <c r="K4" s="841"/>
      <c r="L4" s="841"/>
      <c r="M4" s="841"/>
      <c r="N4" s="842"/>
      <c r="P4" s="67" t="s">
        <v>36</v>
      </c>
      <c r="Q4" s="66">
        <f>'PIE Tracker'!AD5</f>
        <v>205.5</v>
      </c>
      <c r="R4" s="66">
        <f>'PIE Tracker'!AE5</f>
        <v>53.25</v>
      </c>
      <c r="S4" s="66">
        <f>'PIE Tracker'!AF5</f>
        <v>8.5</v>
      </c>
      <c r="T4" s="89">
        <f>'PIE Tracker'!AG5</f>
        <v>143.75</v>
      </c>
      <c r="U4" s="303">
        <f>'PIE Tracker'!AH5</f>
        <v>27</v>
      </c>
      <c r="V4" s="304">
        <f>'Closed Transactions'!S66+'Closed Transactions'!T66</f>
        <v>6880.0000000000018</v>
      </c>
      <c r="W4" s="575">
        <f>SUMIF('Business Tracker'!$AA$6:$AA$67,MONTH(DATEVALUE(P4 &amp;" 1")),'Business Tracker'!$AF$6:$AF$67)</f>
        <v>10000.000000000002</v>
      </c>
      <c r="X4" s="695">
        <v>1</v>
      </c>
    </row>
    <row r="5" spans="2:24" ht="13.5" customHeight="1" x14ac:dyDescent="0.15">
      <c r="B5" s="377" t="s">
        <v>17</v>
      </c>
      <c r="C5" s="296" t="s">
        <v>16</v>
      </c>
      <c r="D5" s="296" t="s">
        <v>15</v>
      </c>
      <c r="E5" s="296" t="s">
        <v>98</v>
      </c>
      <c r="F5" s="375"/>
      <c r="G5" s="64"/>
      <c r="H5" s="840"/>
      <c r="I5" s="841"/>
      <c r="J5" s="841"/>
      <c r="K5" s="841"/>
      <c r="L5" s="841"/>
      <c r="M5" s="841"/>
      <c r="N5" s="842"/>
      <c r="O5" s="64"/>
      <c r="P5" s="67" t="s">
        <v>37</v>
      </c>
      <c r="Q5" s="66">
        <f>'PIE Tracker'!AD6</f>
        <v>216.82999999999998</v>
      </c>
      <c r="R5" s="66">
        <f>'PIE Tracker'!AE6</f>
        <v>66.75</v>
      </c>
      <c r="S5" s="66">
        <f>'PIE Tracker'!AF6</f>
        <v>21.75</v>
      </c>
      <c r="T5" s="89">
        <f>'PIE Tracker'!AG6</f>
        <v>128.32999999999998</v>
      </c>
      <c r="U5" s="303">
        <f>'PIE Tracker'!AH6</f>
        <v>29</v>
      </c>
      <c r="V5" s="304">
        <f>'Closed Transactions'!U66+'Closed Transactions'!V66</f>
        <v>4381.3249999999998</v>
      </c>
      <c r="W5" s="575">
        <f>SUMIF('Business Tracker'!$AA$6:$AA$67,MONTH(DATEVALUE(P5 &amp;" 1")),'Business Tracker'!$AF$6:$AF$67)</f>
        <v>3657.5</v>
      </c>
      <c r="X5" s="695">
        <v>1</v>
      </c>
    </row>
    <row r="6" spans="2:24" ht="13.5" customHeight="1" x14ac:dyDescent="0.15">
      <c r="B6" s="378">
        <f>SUM(Q3:Q14)</f>
        <v>1991.2133299999998</v>
      </c>
      <c r="C6" s="104">
        <f>SUM(R3:R14)</f>
        <v>576.69000000000005</v>
      </c>
      <c r="D6" s="104">
        <f>SUM(S3:S14)</f>
        <v>100.5</v>
      </c>
      <c r="E6" s="104">
        <f>(B6-C6-D6)</f>
        <v>1314.0233299999998</v>
      </c>
      <c r="F6" s="375"/>
      <c r="G6" s="64"/>
      <c r="H6" s="840"/>
      <c r="I6" s="841"/>
      <c r="J6" s="841"/>
      <c r="K6" s="841"/>
      <c r="L6" s="841"/>
      <c r="M6" s="841"/>
      <c r="N6" s="842"/>
      <c r="O6" s="64"/>
      <c r="P6" s="67" t="s">
        <v>38</v>
      </c>
      <c r="Q6" s="66">
        <f>'PIE Tracker'!AD7</f>
        <v>166</v>
      </c>
      <c r="R6" s="66">
        <f>'PIE Tracker'!AE7</f>
        <v>50.25</v>
      </c>
      <c r="S6" s="66">
        <f>'PIE Tracker'!AF7</f>
        <v>7.5</v>
      </c>
      <c r="T6" s="89">
        <f>'PIE Tracker'!AG7</f>
        <v>108.25</v>
      </c>
      <c r="U6" s="303">
        <f>'PIE Tracker'!AH7</f>
        <v>28</v>
      </c>
      <c r="V6" s="304">
        <f>'Closed Transactions'!W66+'Closed Transactions'!X66</f>
        <v>52275</v>
      </c>
      <c r="W6" s="575">
        <f>SUMIF('Business Tracker'!$AA$6:$AA$67,MONTH(DATEVALUE(P6 &amp;" 1")),'Business Tracker'!$AF$6:$AF$67)</f>
        <v>61500</v>
      </c>
      <c r="X6" s="695">
        <v>1</v>
      </c>
    </row>
    <row r="7" spans="2:24" ht="13.5" customHeight="1" x14ac:dyDescent="0.15">
      <c r="B7" s="33"/>
      <c r="C7" s="379"/>
      <c r="D7" s="379"/>
      <c r="E7" s="380"/>
      <c r="F7" s="375"/>
      <c r="G7" s="64"/>
      <c r="H7" s="840"/>
      <c r="I7" s="841"/>
      <c r="J7" s="841"/>
      <c r="K7" s="841"/>
      <c r="L7" s="841"/>
      <c r="M7" s="841"/>
      <c r="N7" s="842"/>
      <c r="O7" s="64"/>
      <c r="P7" s="67" t="s">
        <v>20</v>
      </c>
      <c r="Q7" s="66">
        <f>'PIE Tracker'!AD8</f>
        <v>164.75</v>
      </c>
      <c r="R7" s="66">
        <f>'PIE Tracker'!AE8</f>
        <v>57.25</v>
      </c>
      <c r="S7" s="66">
        <f>'PIE Tracker'!AF8</f>
        <v>6.25</v>
      </c>
      <c r="T7" s="89">
        <f>'PIE Tracker'!AG8</f>
        <v>101.25</v>
      </c>
      <c r="U7" s="303">
        <f>'PIE Tracker'!AH8</f>
        <v>29</v>
      </c>
      <c r="V7" s="304">
        <f>'Closed Transactions'!Y66+'Closed Transactions'!Z66</f>
        <v>0</v>
      </c>
      <c r="W7" s="575">
        <f>SUMIF('Business Tracker'!$AA$6:$AA$67,MONTH(DATEVALUE(P7 &amp;" 1")),'Business Tracker'!$AF$6:$AF$67)</f>
        <v>0</v>
      </c>
      <c r="X7" s="695">
        <v>1</v>
      </c>
    </row>
    <row r="8" spans="2:24" ht="13.5" customHeight="1" x14ac:dyDescent="0.15">
      <c r="B8" s="33"/>
      <c r="C8" s="27"/>
      <c r="D8" s="27"/>
      <c r="E8" s="27"/>
      <c r="F8" s="375"/>
      <c r="H8" s="840"/>
      <c r="I8" s="841"/>
      <c r="J8" s="841"/>
      <c r="K8" s="841"/>
      <c r="L8" s="841"/>
      <c r="M8" s="841"/>
      <c r="N8" s="842"/>
      <c r="P8" s="67" t="s">
        <v>39</v>
      </c>
      <c r="Q8" s="66">
        <f>'PIE Tracker'!AD9</f>
        <v>110.5</v>
      </c>
      <c r="R8" s="66">
        <f>'PIE Tracker'!AE9</f>
        <v>35.25</v>
      </c>
      <c r="S8" s="66">
        <f>'PIE Tracker'!AF9</f>
        <v>3.25</v>
      </c>
      <c r="T8" s="89">
        <f>'PIE Tracker'!AG9</f>
        <v>72</v>
      </c>
      <c r="U8" s="303">
        <f>'PIE Tracker'!AH9</f>
        <v>17</v>
      </c>
      <c r="V8" s="304">
        <f>'Closed Transactions'!AA66+'Closed Transactions'!AB66</f>
        <v>4972.5</v>
      </c>
      <c r="W8" s="575">
        <f>SUMIF('Business Tracker'!$AA$6:$AA$67,MONTH(DATEVALUE(P8 &amp;" 1")),'Business Tracker'!$AF$6:$AF$67)</f>
        <v>2925</v>
      </c>
      <c r="X8" s="695">
        <v>1</v>
      </c>
    </row>
    <row r="9" spans="2:24" ht="13.5" customHeight="1" x14ac:dyDescent="0.15">
      <c r="B9" s="381"/>
      <c r="C9" s="85" t="s">
        <v>13</v>
      </c>
      <c r="D9" s="85" t="s">
        <v>12</v>
      </c>
      <c r="E9" s="85" t="s">
        <v>14</v>
      </c>
      <c r="F9" s="375"/>
      <c r="G9" s="64"/>
      <c r="H9" s="840"/>
      <c r="I9" s="841"/>
      <c r="J9" s="841"/>
      <c r="K9" s="841"/>
      <c r="L9" s="841"/>
      <c r="M9" s="841"/>
      <c r="N9" s="842"/>
      <c r="O9" s="64"/>
      <c r="P9" s="67" t="s">
        <v>29</v>
      </c>
      <c r="Q9" s="66">
        <f>'PIE Tracker'!AD10</f>
        <v>186.75</v>
      </c>
      <c r="R9" s="66">
        <f>'PIE Tracker'!AE10</f>
        <v>48.75</v>
      </c>
      <c r="S9" s="66">
        <f>'PIE Tracker'!AF10</f>
        <v>11.5</v>
      </c>
      <c r="T9" s="89">
        <f>'PIE Tracker'!AG10</f>
        <v>126.5</v>
      </c>
      <c r="U9" s="303">
        <f>'PIE Tracker'!AH10</f>
        <v>24</v>
      </c>
      <c r="V9" s="304">
        <f>'Closed Transactions'!AC66+'Closed Transactions'!AD66</f>
        <v>4546.43805488</v>
      </c>
      <c r="W9" s="575">
        <f>SUMIF('Business Tracker'!$AA$6:$AA$67,MONTH(DATEVALUE(P9 &amp;" 1")),'Business Tracker'!$AF$6:$AF$67)</f>
        <v>7148.7506528000004</v>
      </c>
      <c r="X9" s="695">
        <v>1</v>
      </c>
    </row>
    <row r="10" spans="2:24" ht="13.5" customHeight="1" x14ac:dyDescent="0.15">
      <c r="B10" s="382"/>
      <c r="C10" s="105">
        <f>IF(B6=0,"0",C6/B6)</f>
        <v>0.28961738619939836</v>
      </c>
      <c r="D10" s="105">
        <f>IF(C6=0,"0",D6/B6)</f>
        <v>5.0471739258595667E-2</v>
      </c>
      <c r="E10" s="105">
        <f>IF(D6=0,"0",E6/B6)</f>
        <v>0.65991087454200592</v>
      </c>
      <c r="F10" s="375"/>
      <c r="G10" s="64"/>
      <c r="H10" s="840"/>
      <c r="I10" s="841"/>
      <c r="J10" s="841"/>
      <c r="K10" s="841"/>
      <c r="L10" s="841"/>
      <c r="M10" s="841"/>
      <c r="N10" s="842"/>
      <c r="O10" s="64"/>
      <c r="P10" s="67" t="s">
        <v>30</v>
      </c>
      <c r="Q10" s="66">
        <f>'PIE Tracker'!AD11</f>
        <v>186</v>
      </c>
      <c r="R10" s="66">
        <f>'PIE Tracker'!AE11</f>
        <v>60</v>
      </c>
      <c r="S10" s="66">
        <f>'PIE Tracker'!AF11</f>
        <v>4.5</v>
      </c>
      <c r="T10" s="89">
        <f>'PIE Tracker'!AG11</f>
        <v>121.5</v>
      </c>
      <c r="U10" s="303">
        <f>'PIE Tracker'!AH11</f>
        <v>31</v>
      </c>
      <c r="V10" s="304">
        <f>'Closed Transactions'!AE66+'Closed Transactions'!AF66</f>
        <v>4201.125</v>
      </c>
      <c r="W10" s="575">
        <f>SUMIF('Business Tracker'!$AA$6:$AA$67,MONTH(DATEVALUE(P10 &amp;" 1")),'Business Tracker'!$AF$6:$AF$67)</f>
        <v>3295</v>
      </c>
      <c r="X10" s="695">
        <v>1</v>
      </c>
    </row>
    <row r="11" spans="2:24" ht="13.5" customHeight="1" x14ac:dyDescent="0.15">
      <c r="B11" s="33"/>
      <c r="C11" s="27"/>
      <c r="D11" s="27"/>
      <c r="E11" s="27"/>
      <c r="F11" s="375"/>
      <c r="G11" s="68"/>
      <c r="H11" s="840"/>
      <c r="I11" s="841"/>
      <c r="J11" s="841"/>
      <c r="K11" s="841"/>
      <c r="L11" s="841"/>
      <c r="M11" s="841"/>
      <c r="N11" s="842"/>
      <c r="O11" s="68"/>
      <c r="P11" s="67" t="s">
        <v>31</v>
      </c>
      <c r="Q11" s="66">
        <f>'PIE Tracker'!AD12</f>
        <v>161</v>
      </c>
      <c r="R11" s="66">
        <f>'PIE Tracker'!AE12</f>
        <v>44.5</v>
      </c>
      <c r="S11" s="66">
        <f>'PIE Tracker'!AF12</f>
        <v>5</v>
      </c>
      <c r="T11" s="89">
        <f>'PIE Tracker'!AG12</f>
        <v>111.5</v>
      </c>
      <c r="U11" s="303">
        <f>'PIE Tracker'!AH12</f>
        <v>26</v>
      </c>
      <c r="V11" s="304">
        <f>'Closed Transactions'!AG66+'Closed Transactions'!AH66</f>
        <v>13090</v>
      </c>
      <c r="W11" s="575">
        <f>SUMIF('Business Tracker'!$AA$6:$AA$67,MONTH(DATEVALUE(P11 &amp;" 1")),'Business Tracker'!$AF$6:$AF$67)</f>
        <v>15400</v>
      </c>
      <c r="X11" s="695">
        <v>1</v>
      </c>
    </row>
    <row r="12" spans="2:24" ht="13.5" customHeight="1" x14ac:dyDescent="0.15">
      <c r="B12" s="33"/>
      <c r="C12" s="27"/>
      <c r="D12" s="27"/>
      <c r="E12" s="27"/>
      <c r="F12" s="375"/>
      <c r="H12" s="843"/>
      <c r="I12" s="844"/>
      <c r="J12" s="844"/>
      <c r="K12" s="844"/>
      <c r="L12" s="844"/>
      <c r="M12" s="844"/>
      <c r="N12" s="845"/>
      <c r="P12" s="67" t="s">
        <v>32</v>
      </c>
      <c r="Q12" s="66">
        <f>'PIE Tracker'!AD13</f>
        <v>172.3</v>
      </c>
      <c r="R12" s="66">
        <f>'PIE Tracker'!AE13</f>
        <v>43.95</v>
      </c>
      <c r="S12" s="66">
        <f>'PIE Tracker'!AF13</f>
        <v>3.25</v>
      </c>
      <c r="T12" s="89">
        <f>'PIE Tracker'!AG13</f>
        <v>125.1</v>
      </c>
      <c r="U12" s="303">
        <f>'PIE Tracker'!AH13</f>
        <v>27</v>
      </c>
      <c r="V12" s="304">
        <f>'Closed Transactions'!AI66+'Closed Transactions'!AJ66</f>
        <v>0</v>
      </c>
      <c r="W12" s="575">
        <f>SUMIF('Business Tracker'!$AA$6:$AA$67,MONTH(DATEVALUE(P12 &amp;" 1")),'Business Tracker'!$AF$6:$AF$67)</f>
        <v>0</v>
      </c>
      <c r="X12" s="695">
        <v>1</v>
      </c>
    </row>
    <row r="13" spans="2:24" ht="13.5" customHeight="1" x14ac:dyDescent="0.15">
      <c r="B13" s="383" t="s">
        <v>7</v>
      </c>
      <c r="C13" s="299" t="s">
        <v>11</v>
      </c>
      <c r="D13" s="299" t="s">
        <v>10</v>
      </c>
      <c r="E13" s="297" t="s">
        <v>8</v>
      </c>
      <c r="F13" s="375"/>
      <c r="P13" s="67" t="s">
        <v>33</v>
      </c>
      <c r="Q13" s="66">
        <f>'PIE Tracker'!AD14</f>
        <v>106.75</v>
      </c>
      <c r="R13" s="66">
        <f>'PIE Tracker'!AE14</f>
        <v>28.75</v>
      </c>
      <c r="S13" s="66">
        <f>'PIE Tracker'!AF14</f>
        <v>4</v>
      </c>
      <c r="T13" s="89" t="e">
        <f>'PIE Tracker'!AG14</f>
        <v>#REF!</v>
      </c>
      <c r="U13" s="303">
        <f>'PIE Tracker'!AH14</f>
        <v>16</v>
      </c>
      <c r="V13" s="304">
        <f>'Closed Transactions'!AK66+'Closed Transactions'!AL66</f>
        <v>0</v>
      </c>
      <c r="W13" s="575">
        <f>SUMIF('Business Tracker'!$AA$6:$AA$67,MONTH(DATEVALUE(P13 &amp;" 1")),'Business Tracker'!$AF$6:$AF$67)</f>
        <v>0</v>
      </c>
      <c r="X13" s="695">
        <v>1</v>
      </c>
    </row>
    <row r="14" spans="2:24" ht="13.5" customHeight="1" x14ac:dyDescent="0.15">
      <c r="B14" s="381" t="s">
        <v>3</v>
      </c>
      <c r="C14" s="300" t="s">
        <v>9</v>
      </c>
      <c r="D14" s="300" t="s">
        <v>9</v>
      </c>
      <c r="E14" s="298" t="s">
        <v>9</v>
      </c>
      <c r="F14" s="375"/>
      <c r="P14" s="69" t="s">
        <v>34</v>
      </c>
      <c r="Q14" s="66">
        <f>'PIE Tracker'!AD15</f>
        <v>86.25</v>
      </c>
      <c r="R14" s="66">
        <f>'PIE Tracker'!AE15</f>
        <v>26.75</v>
      </c>
      <c r="S14" s="66">
        <f>'PIE Tracker'!AF15</f>
        <v>1.25</v>
      </c>
      <c r="T14" s="89">
        <f>'PIE Tracker'!AG15</f>
        <v>58.25</v>
      </c>
      <c r="U14" s="303">
        <f>'PIE Tracker'!AH15</f>
        <v>11</v>
      </c>
      <c r="V14" s="304">
        <f>'Closed Transactions'!AM66+'Closed Transactions'!AN66</f>
        <v>0</v>
      </c>
      <c r="W14" s="575">
        <f>SUMIF('Business Tracker'!$AA$6:$AA$67,MONTH(DATEVALUE(P14 &amp;" 1")),'Business Tracker'!$AF$6:$AF$67)</f>
        <v>0</v>
      </c>
      <c r="X14" s="695">
        <v>1</v>
      </c>
    </row>
    <row r="15" spans="2:24" ht="13.5" customHeight="1" x14ac:dyDescent="0.15">
      <c r="B15" s="384">
        <f>IF(B6=0,"0",B6/F2)</f>
        <v>6.7270720608108103</v>
      </c>
      <c r="C15" s="301">
        <f>IF(C6=0,"0",C6/F2)</f>
        <v>1.9482770270270273</v>
      </c>
      <c r="D15" s="301">
        <f>IF(D6=0,"0",D6/F2)</f>
        <v>0.33952702702702703</v>
      </c>
      <c r="E15" s="302">
        <f>(B15)*(E10)</f>
        <v>4.4392680067567563</v>
      </c>
      <c r="F15" s="375"/>
    </row>
    <row r="16" spans="2:24" s="70" customFormat="1" ht="13.5" customHeight="1" x14ac:dyDescent="0.2">
      <c r="B16" s="385"/>
      <c r="C16" s="21"/>
      <c r="D16" s="21"/>
      <c r="E16" s="21"/>
      <c r="F16" s="386"/>
    </row>
    <row r="17" spans="1:18" ht="13.5" customHeight="1" x14ac:dyDescent="0.15">
      <c r="B17" s="33"/>
      <c r="C17" s="833" t="s">
        <v>19</v>
      </c>
      <c r="D17" s="834"/>
      <c r="E17" s="835"/>
      <c r="F17" s="375"/>
    </row>
    <row r="18" spans="1:18" ht="13.5" customHeight="1" x14ac:dyDescent="0.15">
      <c r="B18" s="387"/>
      <c r="C18" s="106">
        <f>IF(B6=0,"0",(C6)/(D6))</f>
        <v>5.7382089552238815</v>
      </c>
      <c r="D18" s="107" t="s">
        <v>18</v>
      </c>
      <c r="E18" s="108">
        <v>1</v>
      </c>
      <c r="F18" s="375"/>
    </row>
    <row r="19" spans="1:18" ht="13.5" customHeight="1" x14ac:dyDescent="0.15">
      <c r="B19" s="33"/>
      <c r="C19" s="27"/>
      <c r="D19" s="27"/>
      <c r="E19" s="27"/>
      <c r="F19" s="375"/>
    </row>
    <row r="20" spans="1:18" ht="13.5" customHeight="1" x14ac:dyDescent="0.15">
      <c r="B20" s="33"/>
      <c r="C20" s="392" t="s">
        <v>200</v>
      </c>
      <c r="D20" s="86">
        <f>'Closed Transactions'!M66</f>
        <v>94220.475554880002</v>
      </c>
      <c r="F20" s="388"/>
    </row>
    <row r="21" spans="1:18" ht="13.5" customHeight="1" x14ac:dyDescent="0.15">
      <c r="B21" s="33"/>
      <c r="C21" s="392" t="s">
        <v>294</v>
      </c>
      <c r="D21" s="87">
        <f>IF(B6=0,"0",D20/D6)</f>
        <v>937.5171697002985</v>
      </c>
      <c r="F21" s="375"/>
    </row>
    <row r="22" spans="1:18" ht="13.5" customHeight="1" thickBot="1" x14ac:dyDescent="0.2">
      <c r="B22" s="35"/>
      <c r="C22" s="393" t="s">
        <v>295</v>
      </c>
      <c r="D22" s="389">
        <f>IF(B6=0,"0",D20/B6)</f>
        <v>47.31812213957005</v>
      </c>
      <c r="E22" s="394"/>
      <c r="F22" s="390"/>
    </row>
    <row r="23" spans="1:18" ht="13.5" customHeight="1" x14ac:dyDescent="0.15"/>
    <row r="24" spans="1:18" ht="12.75" customHeight="1" x14ac:dyDescent="0.15">
      <c r="B24" s="71"/>
      <c r="C24" s="71"/>
      <c r="D24" s="72"/>
      <c r="E24" s="71"/>
      <c r="F24" s="72"/>
      <c r="G24" s="71"/>
      <c r="H24" s="71"/>
      <c r="I24" s="71"/>
      <c r="J24" s="71"/>
      <c r="K24" s="71"/>
      <c r="L24" s="71"/>
      <c r="M24" s="71"/>
      <c r="N24" s="71"/>
      <c r="O24" s="71"/>
    </row>
    <row r="25" spans="1:18" ht="12.75" customHeight="1" x14ac:dyDescent="0.15">
      <c r="A25" s="63"/>
      <c r="E25" s="73"/>
      <c r="F25" s="73"/>
      <c r="G25" s="73"/>
      <c r="H25" s="73"/>
      <c r="I25" s="73"/>
      <c r="J25" s="73"/>
      <c r="K25" s="73"/>
      <c r="L25" s="73"/>
      <c r="M25" s="73"/>
      <c r="N25" s="73"/>
      <c r="O25" s="73"/>
      <c r="P25" s="73"/>
      <c r="Q25" s="74"/>
      <c r="R25" s="73"/>
    </row>
    <row r="26" spans="1:18" ht="12.75" customHeight="1" x14ac:dyDescent="0.15"/>
    <row r="27" spans="1:18" ht="12.75" customHeight="1" x14ac:dyDescent="0.15"/>
    <row r="28" spans="1:18" ht="12.75" customHeight="1" x14ac:dyDescent="0.15"/>
    <row r="29" spans="1:18" ht="12.75" customHeight="1" x14ac:dyDescent="0.15"/>
    <row r="30" spans="1:18" ht="12.75" customHeight="1" x14ac:dyDescent="0.15"/>
    <row r="31" spans="1:18" ht="12.75" customHeight="1" x14ac:dyDescent="0.15"/>
    <row r="32" spans="1:18" ht="12.75" customHeight="1" x14ac:dyDescent="0.15"/>
    <row r="33" spans="4:18" ht="12.75" customHeight="1" x14ac:dyDescent="0.15"/>
    <row r="34" spans="4:18" ht="12.75" customHeight="1" x14ac:dyDescent="0.15"/>
    <row r="35" spans="4:18" ht="12.75" customHeight="1" x14ac:dyDescent="0.15"/>
    <row r="36" spans="4:18" ht="12.75" customHeight="1" x14ac:dyDescent="0.15"/>
    <row r="37" spans="4:18" ht="12.75" customHeight="1" x14ac:dyDescent="0.15"/>
    <row r="38" spans="4:18" ht="12.75" customHeight="1" x14ac:dyDescent="0.15"/>
    <row r="39" spans="4:18" ht="12.75" customHeight="1" x14ac:dyDescent="0.15">
      <c r="D39" s="836"/>
      <c r="E39" s="836"/>
      <c r="F39" s="836"/>
      <c r="G39" s="836"/>
      <c r="H39" s="836"/>
      <c r="I39" s="836"/>
      <c r="J39" s="836"/>
      <c r="K39" s="836"/>
      <c r="L39" s="836"/>
      <c r="M39" s="836"/>
      <c r="N39" s="836"/>
      <c r="O39" s="836"/>
      <c r="P39" s="836"/>
      <c r="Q39" s="836"/>
      <c r="R39" s="836"/>
    </row>
    <row r="40" spans="4:18" ht="12.75" customHeight="1" x14ac:dyDescent="0.15">
      <c r="E40" s="73"/>
      <c r="F40" s="73"/>
      <c r="G40" s="73"/>
      <c r="H40" s="73"/>
      <c r="I40" s="73"/>
      <c r="J40" s="73"/>
      <c r="K40" s="73"/>
      <c r="L40" s="73"/>
      <c r="M40" s="73"/>
      <c r="N40" s="73"/>
      <c r="O40" s="73"/>
      <c r="P40" s="73"/>
      <c r="Q40" s="74"/>
      <c r="R40" s="73"/>
    </row>
    <row r="41" spans="4:18" ht="12.75" customHeight="1" x14ac:dyDescent="0.15">
      <c r="E41" s="68"/>
      <c r="F41" s="68"/>
      <c r="G41" s="68"/>
      <c r="H41" s="68"/>
      <c r="I41" s="68"/>
      <c r="J41" s="68"/>
      <c r="K41" s="68"/>
      <c r="L41" s="68"/>
      <c r="M41" s="68"/>
      <c r="N41" s="68"/>
      <c r="O41" s="68"/>
      <c r="P41" s="68"/>
      <c r="Q41" s="75"/>
    </row>
    <row r="42" spans="4:18" ht="12.75" customHeight="1" x14ac:dyDescent="0.15">
      <c r="E42" s="76"/>
      <c r="G42" s="77"/>
      <c r="H42" s="77"/>
      <c r="I42" s="77"/>
      <c r="J42" s="77"/>
      <c r="K42" s="77"/>
      <c r="L42" s="77"/>
      <c r="M42" s="77"/>
      <c r="N42" s="77"/>
      <c r="O42" s="77"/>
      <c r="P42" s="77"/>
    </row>
    <row r="43" spans="4:18" ht="12.75" customHeight="1" x14ac:dyDescent="0.15">
      <c r="E43" s="76"/>
      <c r="G43" s="77"/>
      <c r="H43" s="77"/>
      <c r="I43" s="77"/>
      <c r="J43" s="77"/>
      <c r="K43" s="77"/>
      <c r="L43" s="77"/>
      <c r="M43" s="77"/>
      <c r="N43" s="77"/>
      <c r="O43" s="77"/>
      <c r="P43" s="77"/>
    </row>
    <row r="44" spans="4:18" ht="12.75" customHeight="1" x14ac:dyDescent="0.15">
      <c r="E44" s="76"/>
      <c r="G44" s="77"/>
      <c r="H44" s="77"/>
      <c r="I44" s="77"/>
      <c r="J44" s="77"/>
      <c r="K44" s="77"/>
      <c r="L44" s="77"/>
      <c r="M44" s="77"/>
      <c r="N44" s="77"/>
      <c r="O44" s="77"/>
      <c r="P44" s="77"/>
      <c r="Q44" s="77"/>
    </row>
    <row r="45" spans="4:18" ht="12.75" customHeight="1" x14ac:dyDescent="0.15">
      <c r="E45" s="76"/>
      <c r="F45" s="78"/>
      <c r="G45" s="79"/>
      <c r="H45" s="79"/>
      <c r="I45" s="79"/>
      <c r="J45" s="79"/>
      <c r="K45" s="79"/>
      <c r="L45" s="79"/>
      <c r="M45" s="79"/>
      <c r="N45" s="79"/>
      <c r="O45" s="79"/>
      <c r="P45" s="79"/>
    </row>
    <row r="46" spans="4:18" ht="12.75" customHeight="1" x14ac:dyDescent="0.15">
      <c r="E46" s="76"/>
      <c r="G46" s="77"/>
      <c r="H46" s="77"/>
      <c r="I46" s="77"/>
      <c r="J46" s="77"/>
      <c r="K46" s="77"/>
      <c r="L46" s="77"/>
      <c r="M46" s="77"/>
      <c r="N46" s="77"/>
      <c r="O46" s="77"/>
      <c r="P46" s="77"/>
    </row>
    <row r="47" spans="4:18" ht="12.75" customHeight="1" x14ac:dyDescent="0.15">
      <c r="E47" s="76"/>
      <c r="G47" s="77"/>
      <c r="H47" s="77"/>
      <c r="I47" s="77"/>
      <c r="J47" s="77"/>
      <c r="K47" s="77"/>
      <c r="L47" s="77"/>
      <c r="M47" s="77"/>
      <c r="N47" s="77"/>
      <c r="O47" s="77"/>
      <c r="P47" s="77"/>
    </row>
    <row r="48" spans="4:18" ht="12.75" customHeight="1" x14ac:dyDescent="0.15">
      <c r="E48" s="76"/>
      <c r="G48" s="80"/>
      <c r="H48" s="80"/>
      <c r="I48" s="80"/>
      <c r="J48" s="80"/>
      <c r="K48" s="80"/>
      <c r="L48" s="80"/>
      <c r="M48" s="80"/>
      <c r="N48" s="80"/>
      <c r="O48" s="80"/>
      <c r="P48" s="80"/>
    </row>
    <row r="49" spans="5:17" ht="12.75" customHeight="1" x14ac:dyDescent="0.15">
      <c r="E49" s="76"/>
      <c r="G49" s="81"/>
      <c r="H49" s="81"/>
      <c r="I49" s="81"/>
      <c r="J49" s="81"/>
      <c r="K49" s="81"/>
      <c r="L49" s="81"/>
      <c r="M49" s="81"/>
      <c r="N49" s="81"/>
      <c r="O49" s="81"/>
      <c r="P49" s="81"/>
    </row>
    <row r="50" spans="5:17" ht="12.75" customHeight="1" x14ac:dyDescent="0.15">
      <c r="E50" s="78"/>
      <c r="G50" s="78"/>
      <c r="H50" s="78"/>
      <c r="I50" s="78"/>
      <c r="J50" s="78"/>
      <c r="K50" s="78"/>
      <c r="L50" s="78"/>
      <c r="M50" s="78"/>
      <c r="N50" s="78"/>
      <c r="O50" s="78"/>
      <c r="P50" s="78"/>
    </row>
    <row r="51" spans="5:17" ht="12.75" customHeight="1" x14ac:dyDescent="0.15">
      <c r="E51" s="68"/>
      <c r="G51" s="68"/>
      <c r="H51" s="68"/>
      <c r="I51" s="68"/>
      <c r="J51" s="68"/>
      <c r="K51" s="68"/>
      <c r="L51" s="68"/>
      <c r="M51" s="68"/>
      <c r="N51" s="68"/>
      <c r="O51" s="68"/>
      <c r="P51" s="75"/>
      <c r="Q51" s="75"/>
    </row>
    <row r="52" spans="5:17" ht="12.75" customHeight="1" x14ac:dyDescent="0.15">
      <c r="F52" s="82"/>
      <c r="G52" s="77"/>
      <c r="H52" s="77"/>
      <c r="I52" s="77"/>
      <c r="J52" s="77"/>
      <c r="K52" s="77"/>
      <c r="L52" s="77"/>
      <c r="M52" s="77"/>
      <c r="N52" s="77"/>
      <c r="O52" s="77"/>
      <c r="P52" s="77"/>
      <c r="Q52" s="77"/>
    </row>
    <row r="53" spans="5:17" ht="12.75" customHeight="1" x14ac:dyDescent="0.15">
      <c r="F53" s="82"/>
      <c r="G53" s="77"/>
      <c r="H53" s="77"/>
      <c r="I53" s="77"/>
      <c r="J53" s="77"/>
      <c r="K53" s="77"/>
      <c r="L53" s="77"/>
      <c r="M53" s="77"/>
      <c r="N53" s="77"/>
      <c r="O53" s="77"/>
      <c r="P53" s="77"/>
      <c r="Q53" s="77"/>
    </row>
    <row r="54" spans="5:17" ht="12.75" customHeight="1" x14ac:dyDescent="0.15">
      <c r="F54" s="83"/>
      <c r="G54" s="77"/>
      <c r="H54" s="77"/>
      <c r="I54" s="77"/>
      <c r="J54" s="77"/>
      <c r="K54" s="77"/>
      <c r="L54" s="77"/>
      <c r="M54" s="77"/>
      <c r="N54" s="77"/>
      <c r="O54" s="77"/>
      <c r="P54" s="77"/>
      <c r="Q54" s="77"/>
    </row>
    <row r="55" spans="5:17" ht="12.75" customHeight="1" x14ac:dyDescent="0.15">
      <c r="F55" s="83"/>
      <c r="G55" s="77"/>
      <c r="H55" s="77"/>
      <c r="I55" s="77"/>
      <c r="J55" s="77"/>
      <c r="K55" s="77"/>
      <c r="L55" s="77"/>
      <c r="M55" s="77"/>
      <c r="N55" s="77"/>
      <c r="O55" s="77"/>
      <c r="P55" s="77"/>
      <c r="Q55" s="77"/>
    </row>
    <row r="56" spans="5:17" ht="12.75" customHeight="1" x14ac:dyDescent="0.15">
      <c r="F56" s="82"/>
      <c r="G56" s="77"/>
      <c r="H56" s="77"/>
      <c r="I56" s="77"/>
      <c r="J56" s="77"/>
      <c r="K56" s="77"/>
      <c r="L56" s="77"/>
      <c r="M56" s="77"/>
      <c r="N56" s="77"/>
      <c r="O56" s="77"/>
      <c r="P56" s="77"/>
      <c r="Q56" s="77"/>
    </row>
    <row r="57" spans="5:17" ht="12.75" customHeight="1" x14ac:dyDescent="0.15">
      <c r="E57" s="82"/>
      <c r="G57" s="84"/>
      <c r="H57" s="84"/>
      <c r="I57" s="84"/>
      <c r="J57" s="84"/>
      <c r="K57" s="84"/>
      <c r="L57" s="84"/>
      <c r="M57" s="84"/>
      <c r="N57" s="84"/>
      <c r="O57" s="84"/>
    </row>
    <row r="58" spans="5:17" ht="12.75" customHeight="1" x14ac:dyDescent="0.15"/>
    <row r="59" spans="5:17" ht="12.75" customHeight="1" x14ac:dyDescent="0.15"/>
    <row r="60" spans="5:17" ht="12.75" customHeight="1" x14ac:dyDescent="0.15"/>
  </sheetData>
  <sheetProtection algorithmName="SHA-512" hashValue="JlvmUK5XBtucfvMGC3qSDBNYLE0hL4FXQNfMPPJ/LMyLI5O/ytbFzIXOcRa3bKUk9TujN92eu7zL53XrKfmyJA==" saltValue="eJt/anZ8BQ/CQP73i/ye7A==" spinCount="100000" sheet="1" objects="1" scenarios="1" selectLockedCells="1"/>
  <mergeCells count="3">
    <mergeCell ref="C17:E17"/>
    <mergeCell ref="D39:R39"/>
    <mergeCell ref="H2:N12"/>
  </mergeCells>
  <phoneticPr fontId="2" type="noConversion"/>
  <pageMargins left="0.75" right="0.75" top="1" bottom="1" header="0.5" footer="0.5"/>
  <pageSetup scale="73"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sheetPr>
  <dimension ref="B1:L36"/>
  <sheetViews>
    <sheetView showGridLines="0" showRowColHeaders="0" workbookViewId="0">
      <selection activeCell="I18" sqref="I18"/>
    </sheetView>
  </sheetViews>
  <sheetFormatPr baseColWidth="10" defaultColWidth="9.1640625" defaultRowHeight="13" x14ac:dyDescent="0.15"/>
  <cols>
    <col min="1" max="1" width="1.83203125" style="2" customWidth="1"/>
    <col min="2" max="2" width="3.5" style="2" customWidth="1"/>
    <col min="3" max="3" width="10.33203125" style="2" customWidth="1"/>
    <col min="4" max="4" width="14" style="2" customWidth="1"/>
    <col min="5" max="8" width="9.1640625" style="2"/>
    <col min="9" max="9" width="18.5" style="2" customWidth="1"/>
    <col min="10" max="10" width="6.5" style="2" customWidth="1"/>
    <col min="11" max="16384" width="9.1640625" style="2"/>
  </cols>
  <sheetData>
    <row r="1" spans="2:12" ht="30.75" customHeight="1" thickBot="1" x14ac:dyDescent="0.2">
      <c r="B1" s="4"/>
      <c r="C1" s="699" t="s">
        <v>383</v>
      </c>
      <c r="D1" s="4"/>
      <c r="E1" s="4"/>
      <c r="F1" s="4"/>
      <c r="G1" s="4"/>
      <c r="H1" s="4"/>
      <c r="I1" s="4"/>
      <c r="J1" s="4"/>
    </row>
    <row r="2" spans="2:12" ht="36.75" customHeight="1" x14ac:dyDescent="0.15">
      <c r="B2" s="407"/>
      <c r="C2" s="847" t="s">
        <v>94</v>
      </c>
      <c r="D2" s="847"/>
      <c r="E2" s="847"/>
      <c r="F2" s="847"/>
      <c r="G2" s="847"/>
      <c r="H2" s="847"/>
      <c r="I2" s="847"/>
      <c r="J2" s="408"/>
      <c r="L2" s="595"/>
    </row>
    <row r="3" spans="2:12" ht="27" customHeight="1" x14ac:dyDescent="0.15">
      <c r="B3" s="5"/>
      <c r="C3" s="848" t="s">
        <v>334</v>
      </c>
      <c r="D3" s="849"/>
      <c r="E3" s="849"/>
      <c r="F3" s="849"/>
      <c r="G3" s="849"/>
      <c r="H3" s="849"/>
      <c r="I3" s="849"/>
      <c r="J3" s="6"/>
      <c r="L3" s="595"/>
    </row>
    <row r="4" spans="2:12" x14ac:dyDescent="0.15">
      <c r="B4" s="5"/>
      <c r="C4" s="4"/>
      <c r="D4" s="4"/>
      <c r="E4" s="4"/>
      <c r="F4" s="4"/>
      <c r="G4" s="4"/>
      <c r="H4" s="396" t="s">
        <v>331</v>
      </c>
      <c r="I4" s="397">
        <f>'Goals &amp; Fees'!L4</f>
        <v>200000</v>
      </c>
      <c r="J4" s="6"/>
    </row>
    <row r="5" spans="2:12" ht="29.25" customHeight="1" x14ac:dyDescent="0.15">
      <c r="B5" s="10"/>
      <c r="C5" s="850" t="s">
        <v>87</v>
      </c>
      <c r="D5" s="851"/>
      <c r="E5" s="11"/>
      <c r="F5" s="852" t="s">
        <v>332</v>
      </c>
      <c r="G5" s="853"/>
      <c r="H5" s="854"/>
      <c r="I5" s="398">
        <f>I4-'Closed Transactions'!M66</f>
        <v>105779.52444512</v>
      </c>
      <c r="J5" s="12"/>
    </row>
    <row r="6" spans="2:12" x14ac:dyDescent="0.15">
      <c r="B6" s="10"/>
      <c r="C6" s="13"/>
      <c r="D6" s="14"/>
      <c r="E6" s="14"/>
      <c r="F6" s="14"/>
      <c r="G6" s="15"/>
      <c r="H6" s="15"/>
      <c r="I6" s="16"/>
      <c r="J6" s="12"/>
    </row>
    <row r="7" spans="2:12" x14ac:dyDescent="0.15">
      <c r="B7" s="10"/>
      <c r="C7" s="13"/>
      <c r="D7" s="14"/>
      <c r="E7" s="14"/>
      <c r="F7" s="14"/>
      <c r="G7" s="855" t="s">
        <v>82</v>
      </c>
      <c r="H7" s="856"/>
      <c r="I7" s="402">
        <v>90</v>
      </c>
      <c r="J7" s="12"/>
    </row>
    <row r="8" spans="2:12" x14ac:dyDescent="0.15">
      <c r="B8" s="10"/>
      <c r="C8" s="13"/>
      <c r="D8" s="14"/>
      <c r="E8" s="14"/>
      <c r="F8" s="14"/>
      <c r="G8" s="14"/>
      <c r="H8" s="14"/>
      <c r="I8" s="16"/>
      <c r="J8" s="12"/>
    </row>
    <row r="9" spans="2:12" ht="15.75" customHeight="1" x14ac:dyDescent="0.15">
      <c r="B9" s="10"/>
      <c r="C9" s="846" t="s">
        <v>83</v>
      </c>
      <c r="D9" s="846"/>
      <c r="E9" s="399">
        <f>I5/'PIE YTD-Overview'!D21</f>
        <v>112.82942634419713</v>
      </c>
      <c r="F9" s="14"/>
      <c r="G9" s="855" t="s">
        <v>84</v>
      </c>
      <c r="H9" s="856"/>
      <c r="I9" s="400">
        <f>E9/I7</f>
        <v>1.2536602927133014</v>
      </c>
      <c r="J9" s="12"/>
    </row>
    <row r="10" spans="2:12" ht="15.75" customHeight="1" x14ac:dyDescent="0.15">
      <c r="B10" s="10"/>
      <c r="C10" s="846" t="s">
        <v>85</v>
      </c>
      <c r="D10" s="846"/>
      <c r="E10" s="399">
        <f>E9*'PIE YTD-Overview'!C18</f>
        <v>647.43882466104526</v>
      </c>
      <c r="F10" s="17"/>
      <c r="G10" s="855" t="s">
        <v>86</v>
      </c>
      <c r="H10" s="856"/>
      <c r="I10" s="401">
        <f>E10/I7</f>
        <v>7.193764718456058</v>
      </c>
      <c r="J10" s="12"/>
    </row>
    <row r="11" spans="2:12" x14ac:dyDescent="0.15">
      <c r="B11" s="10"/>
      <c r="C11" s="14" t="s">
        <v>333</v>
      </c>
      <c r="D11" s="14"/>
      <c r="E11" s="14"/>
      <c r="F11" s="14"/>
      <c r="G11" s="14"/>
      <c r="H11" s="14"/>
      <c r="I11" s="14"/>
      <c r="J11" s="12"/>
    </row>
    <row r="12" spans="2:12" x14ac:dyDescent="0.15">
      <c r="B12" s="10"/>
      <c r="C12" s="14"/>
      <c r="D12" s="14"/>
      <c r="E12" s="14"/>
      <c r="F12" s="14"/>
      <c r="G12" s="14"/>
      <c r="H12" s="14"/>
      <c r="I12" s="14"/>
      <c r="J12" s="12"/>
    </row>
    <row r="13" spans="2:12" ht="9.75" customHeight="1" x14ac:dyDescent="0.15">
      <c r="B13" s="10"/>
      <c r="C13" s="14"/>
      <c r="D13" s="14"/>
      <c r="E13" s="14"/>
      <c r="F13" s="14"/>
      <c r="G13" s="14"/>
      <c r="H13" s="14"/>
      <c r="I13" s="14"/>
      <c r="J13" s="12"/>
    </row>
    <row r="14" spans="2:12" ht="39.75" customHeight="1" x14ac:dyDescent="0.15">
      <c r="B14" s="405"/>
      <c r="C14" s="857" t="s">
        <v>96</v>
      </c>
      <c r="D14" s="857"/>
      <c r="E14" s="857"/>
      <c r="F14" s="857"/>
      <c r="G14" s="857"/>
      <c r="H14" s="857"/>
      <c r="I14" s="857"/>
      <c r="J14" s="406"/>
    </row>
    <row r="15" spans="2:12" ht="60.75" customHeight="1" x14ac:dyDescent="0.15">
      <c r="B15" s="860" t="s">
        <v>335</v>
      </c>
      <c r="C15" s="861"/>
      <c r="D15" s="861"/>
      <c r="E15" s="861"/>
      <c r="F15" s="861"/>
      <c r="G15" s="861"/>
      <c r="H15" s="861"/>
      <c r="I15" s="861"/>
      <c r="J15" s="862"/>
    </row>
    <row r="16" spans="2:12" ht="27" customHeight="1" x14ac:dyDescent="0.15">
      <c r="B16" s="5"/>
      <c r="C16" s="858" t="s">
        <v>334</v>
      </c>
      <c r="D16" s="859"/>
      <c r="E16" s="859"/>
      <c r="F16" s="859"/>
      <c r="G16" s="859"/>
      <c r="H16" s="859"/>
      <c r="I16" s="859"/>
      <c r="J16" s="6"/>
    </row>
    <row r="17" spans="2:10" x14ac:dyDescent="0.15">
      <c r="B17" s="5"/>
      <c r="C17" s="4"/>
      <c r="D17" s="4"/>
      <c r="E17" s="4"/>
      <c r="F17" s="4"/>
      <c r="G17" s="4"/>
      <c r="H17" s="4"/>
      <c r="I17" s="4"/>
      <c r="J17" s="6"/>
    </row>
    <row r="18" spans="2:10" ht="12.75" customHeight="1" x14ac:dyDescent="0.15">
      <c r="B18" s="5"/>
      <c r="C18" s="850" t="s">
        <v>95</v>
      </c>
      <c r="D18" s="851"/>
      <c r="E18" s="18"/>
      <c r="F18" s="19"/>
      <c r="G18" s="846" t="s">
        <v>88</v>
      </c>
      <c r="H18" s="846"/>
      <c r="I18" s="403">
        <v>85000</v>
      </c>
      <c r="J18" s="6"/>
    </row>
    <row r="19" spans="2:10" x14ac:dyDescent="0.15">
      <c r="B19" s="5"/>
      <c r="C19" s="13"/>
      <c r="D19" s="14"/>
      <c r="E19" s="14"/>
      <c r="F19" s="14"/>
      <c r="G19" s="14"/>
      <c r="H19" s="14"/>
      <c r="I19" s="16"/>
      <c r="J19" s="6"/>
    </row>
    <row r="20" spans="2:10" x14ac:dyDescent="0.15">
      <c r="B20" s="5"/>
      <c r="C20" s="846" t="s">
        <v>89</v>
      </c>
      <c r="D20" s="846"/>
      <c r="E20" s="403">
        <v>1090</v>
      </c>
      <c r="F20" s="14"/>
      <c r="G20" s="846" t="s">
        <v>90</v>
      </c>
      <c r="H20" s="846"/>
      <c r="I20" s="402">
        <v>90</v>
      </c>
      <c r="J20" s="6"/>
    </row>
    <row r="21" spans="2:10" x14ac:dyDescent="0.15">
      <c r="B21" s="5"/>
      <c r="C21" s="846" t="s">
        <v>91</v>
      </c>
      <c r="D21" s="846"/>
      <c r="E21" s="402">
        <v>4.71</v>
      </c>
      <c r="F21" s="14"/>
      <c r="G21" s="20"/>
      <c r="H21" s="20"/>
      <c r="I21" s="16"/>
      <c r="J21" s="6"/>
    </row>
    <row r="22" spans="2:10" x14ac:dyDescent="0.15">
      <c r="B22" s="5"/>
      <c r="C22" s="13"/>
      <c r="D22" s="14"/>
      <c r="E22" s="14"/>
      <c r="F22" s="14"/>
      <c r="G22" s="14"/>
      <c r="H22" s="14"/>
      <c r="I22" s="16"/>
      <c r="J22" s="6"/>
    </row>
    <row r="23" spans="2:10" x14ac:dyDescent="0.15">
      <c r="B23" s="5"/>
      <c r="C23" s="846" t="s">
        <v>83</v>
      </c>
      <c r="D23" s="846"/>
      <c r="E23" s="404">
        <f>I18/E20</f>
        <v>77.981651376146786</v>
      </c>
      <c r="F23" s="14"/>
      <c r="G23" s="846" t="s">
        <v>92</v>
      </c>
      <c r="H23" s="846"/>
      <c r="I23" s="400">
        <f>E23/I20</f>
        <v>0.86646279306829765</v>
      </c>
      <c r="J23" s="6"/>
    </row>
    <row r="24" spans="2:10" x14ac:dyDescent="0.15">
      <c r="B24" s="5"/>
      <c r="C24" s="846" t="s">
        <v>85</v>
      </c>
      <c r="D24" s="846"/>
      <c r="E24" s="404">
        <f>E23*E21</f>
        <v>367.29357798165137</v>
      </c>
      <c r="F24" s="17"/>
      <c r="G24" s="846" t="s">
        <v>93</v>
      </c>
      <c r="H24" s="846"/>
      <c r="I24" s="400">
        <f>E24/I20</f>
        <v>4.0810397553516822</v>
      </c>
      <c r="J24" s="6"/>
    </row>
    <row r="25" spans="2:10" x14ac:dyDescent="0.15">
      <c r="B25" s="5"/>
      <c r="C25" s="14"/>
      <c r="D25" s="14"/>
      <c r="E25" s="14"/>
      <c r="F25" s="14"/>
      <c r="G25" s="14"/>
      <c r="H25" s="14"/>
      <c r="I25" s="14"/>
      <c r="J25" s="6"/>
    </row>
    <row r="26" spans="2:10" ht="14" thickBot="1" x14ac:dyDescent="0.2">
      <c r="B26" s="7"/>
      <c r="C26" s="8"/>
      <c r="D26" s="8"/>
      <c r="E26" s="8"/>
      <c r="F26" s="8"/>
      <c r="G26" s="8"/>
      <c r="H26" s="8"/>
      <c r="I26" s="8"/>
      <c r="J26" s="9"/>
    </row>
    <row r="27" spans="2:10" x14ac:dyDescent="0.15">
      <c r="B27" s="4"/>
      <c r="C27" s="4"/>
    </row>
    <row r="28" spans="2:10" ht="12.75" customHeight="1" x14ac:dyDescent="0.15">
      <c r="B28" s="4"/>
      <c r="C28" s="4"/>
    </row>
    <row r="29" spans="2:10" x14ac:dyDescent="0.15">
      <c r="B29" s="4"/>
      <c r="C29" s="4"/>
      <c r="D29" s="4"/>
      <c r="E29" s="4"/>
      <c r="F29" s="4"/>
      <c r="G29" s="4"/>
      <c r="H29" s="4"/>
      <c r="I29" s="4"/>
      <c r="J29" s="4"/>
    </row>
    <row r="30" spans="2:10" x14ac:dyDescent="0.15">
      <c r="B30" s="4"/>
      <c r="C30" s="4"/>
      <c r="D30" s="4"/>
      <c r="E30" s="4"/>
      <c r="F30" s="4"/>
      <c r="G30" s="4"/>
      <c r="H30" s="4"/>
      <c r="I30" s="4"/>
      <c r="J30" s="4"/>
    </row>
    <row r="31" spans="2:10" x14ac:dyDescent="0.15">
      <c r="B31" s="4"/>
      <c r="C31" s="4"/>
      <c r="D31" s="4"/>
      <c r="E31" s="4"/>
      <c r="F31" s="4"/>
      <c r="G31" s="4"/>
      <c r="H31" s="4"/>
      <c r="I31" s="4"/>
      <c r="J31" s="4"/>
    </row>
    <row r="32" spans="2:10" x14ac:dyDescent="0.15">
      <c r="B32" s="4"/>
      <c r="C32" s="4"/>
      <c r="D32" s="4"/>
      <c r="E32" s="4"/>
      <c r="F32" s="4"/>
      <c r="G32" s="4"/>
      <c r="H32" s="4"/>
      <c r="I32" s="4"/>
      <c r="J32" s="4"/>
    </row>
    <row r="33" spans="2:10" x14ac:dyDescent="0.15">
      <c r="B33" s="4"/>
      <c r="C33" s="4"/>
      <c r="D33" s="4"/>
      <c r="E33" s="4"/>
      <c r="F33" s="4"/>
      <c r="G33" s="4"/>
      <c r="H33" s="4"/>
      <c r="I33" s="4"/>
      <c r="J33" s="4"/>
    </row>
    <row r="34" spans="2:10" x14ac:dyDescent="0.15">
      <c r="B34" s="4"/>
      <c r="C34" s="4"/>
      <c r="D34" s="4"/>
      <c r="E34" s="4"/>
      <c r="F34" s="4"/>
      <c r="G34" s="4"/>
      <c r="H34" s="4"/>
      <c r="I34" s="4"/>
      <c r="J34" s="4"/>
    </row>
    <row r="35" spans="2:10" x14ac:dyDescent="0.15">
      <c r="B35" s="4"/>
      <c r="C35" s="4"/>
      <c r="D35" s="4"/>
      <c r="E35" s="4"/>
      <c r="F35" s="4"/>
      <c r="G35" s="4"/>
      <c r="H35" s="4"/>
      <c r="I35" s="4"/>
      <c r="J35" s="4"/>
    </row>
    <row r="36" spans="2:10" x14ac:dyDescent="0.15">
      <c r="B36" s="4"/>
      <c r="C36" s="4"/>
      <c r="D36" s="4"/>
      <c r="E36" s="4"/>
      <c r="F36" s="4"/>
      <c r="G36" s="4"/>
      <c r="H36" s="4"/>
      <c r="I36" s="4"/>
      <c r="J36" s="4"/>
    </row>
  </sheetData>
  <sheetProtection sheet="1" selectLockedCells="1"/>
  <mergeCells count="21">
    <mergeCell ref="C2:I2"/>
    <mergeCell ref="C3:I3"/>
    <mergeCell ref="C18:D18"/>
    <mergeCell ref="G18:H18"/>
    <mergeCell ref="C20:D20"/>
    <mergeCell ref="G20:H20"/>
    <mergeCell ref="C5:D5"/>
    <mergeCell ref="F5:H5"/>
    <mergeCell ref="G7:H7"/>
    <mergeCell ref="C9:D9"/>
    <mergeCell ref="G9:H9"/>
    <mergeCell ref="C10:D10"/>
    <mergeCell ref="G10:H10"/>
    <mergeCell ref="C14:I14"/>
    <mergeCell ref="C16:I16"/>
    <mergeCell ref="B15:J15"/>
    <mergeCell ref="C24:D24"/>
    <mergeCell ref="G24:H24"/>
    <mergeCell ref="C21:D21"/>
    <mergeCell ref="C23:D23"/>
    <mergeCell ref="G23:H23"/>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7EBD-EAE5-446B-905E-28B5E68E7D44}">
  <sheetPr>
    <tabColor theme="8" tint="0.79998168889431442"/>
  </sheetPr>
  <dimension ref="A1:H126"/>
  <sheetViews>
    <sheetView workbookViewId="0">
      <pane ySplit="2" topLeftCell="A107" activePane="bottomLeft" state="frozen"/>
      <selection pane="bottomLeft" activeCell="A125" sqref="A125"/>
    </sheetView>
  </sheetViews>
  <sheetFormatPr baseColWidth="10" defaultColWidth="8.83203125" defaultRowHeight="13" x14ac:dyDescent="0.15"/>
  <cols>
    <col min="1" max="1" width="37" bestFit="1" customWidth="1"/>
    <col min="2" max="2" width="22.6640625" customWidth="1"/>
    <col min="4" max="4" width="14.5" bestFit="1" customWidth="1"/>
    <col min="5" max="5" width="14.5" customWidth="1"/>
    <col min="6" max="6" width="11" bestFit="1" customWidth="1"/>
    <col min="7" max="7" width="8.5" bestFit="1" customWidth="1"/>
    <col min="8" max="8" width="64.5" customWidth="1"/>
  </cols>
  <sheetData>
    <row r="1" spans="1:8" ht="20" x14ac:dyDescent="0.2">
      <c r="A1" s="745" t="s">
        <v>485</v>
      </c>
    </row>
    <row r="2" spans="1:8" ht="32" x14ac:dyDescent="0.15">
      <c r="A2" s="746" t="s">
        <v>477</v>
      </c>
      <c r="B2" s="746" t="s">
        <v>478</v>
      </c>
      <c r="C2" s="746" t="s">
        <v>479</v>
      </c>
      <c r="D2" s="746" t="s">
        <v>480</v>
      </c>
      <c r="E2" s="746" t="s">
        <v>484</v>
      </c>
      <c r="F2" s="747" t="s">
        <v>481</v>
      </c>
      <c r="G2" s="748" t="s">
        <v>482</v>
      </c>
      <c r="H2" s="746" t="s">
        <v>483</v>
      </c>
    </row>
    <row r="3" spans="1:8" x14ac:dyDescent="0.15">
      <c r="A3" s="863" t="s">
        <v>186</v>
      </c>
      <c r="B3" s="863"/>
      <c r="C3" s="863"/>
      <c r="D3" s="863"/>
      <c r="E3" s="863"/>
      <c r="F3" s="863"/>
      <c r="G3" s="863"/>
      <c r="H3" s="863"/>
    </row>
    <row r="14" spans="1:8" x14ac:dyDescent="0.15">
      <c r="A14" s="863" t="s">
        <v>187</v>
      </c>
      <c r="B14" s="863"/>
      <c r="C14" s="863"/>
      <c r="D14" s="863"/>
      <c r="E14" s="863"/>
      <c r="F14" s="863"/>
      <c r="G14" s="863"/>
      <c r="H14" s="863"/>
    </row>
    <row r="25" spans="1:8" x14ac:dyDescent="0.15">
      <c r="A25" s="863" t="s">
        <v>188</v>
      </c>
      <c r="B25" s="863"/>
      <c r="C25" s="863"/>
      <c r="D25" s="863"/>
      <c r="E25" s="863"/>
      <c r="F25" s="863"/>
      <c r="G25" s="863"/>
      <c r="H25" s="863"/>
    </row>
    <row r="36" spans="1:8" x14ac:dyDescent="0.15">
      <c r="A36" s="863" t="s">
        <v>189</v>
      </c>
      <c r="B36" s="863"/>
      <c r="C36" s="863"/>
      <c r="D36" s="863"/>
      <c r="E36" s="863"/>
      <c r="F36" s="863"/>
      <c r="G36" s="863"/>
      <c r="H36" s="863"/>
    </row>
    <row r="46" spans="1:8" x14ac:dyDescent="0.15">
      <c r="A46" s="863" t="s">
        <v>20</v>
      </c>
      <c r="B46" s="863"/>
      <c r="C46" s="863"/>
      <c r="D46" s="863"/>
      <c r="E46" s="863"/>
      <c r="F46" s="863"/>
      <c r="G46" s="863"/>
      <c r="H46" s="863"/>
    </row>
    <row r="56" spans="1:8" x14ac:dyDescent="0.15">
      <c r="A56" s="863" t="s">
        <v>190</v>
      </c>
      <c r="B56" s="863"/>
      <c r="C56" s="863"/>
      <c r="D56" s="863"/>
      <c r="E56" s="863"/>
      <c r="F56" s="863"/>
      <c r="G56" s="863"/>
      <c r="H56" s="863"/>
    </row>
    <row r="67" spans="1:8" x14ac:dyDescent="0.15">
      <c r="A67" s="863" t="s">
        <v>191</v>
      </c>
      <c r="B67" s="863"/>
      <c r="C67" s="863"/>
      <c r="D67" s="863"/>
      <c r="E67" s="863"/>
      <c r="F67" s="863"/>
      <c r="G67" s="863"/>
      <c r="H67" s="863"/>
    </row>
    <row r="78" spans="1:8" x14ac:dyDescent="0.15">
      <c r="A78" s="863" t="s">
        <v>192</v>
      </c>
      <c r="B78" s="863"/>
      <c r="C78" s="863"/>
      <c r="D78" s="863"/>
      <c r="E78" s="863"/>
      <c r="F78" s="863"/>
      <c r="G78" s="863"/>
      <c r="H78" s="863"/>
    </row>
    <row r="89" spans="1:8" x14ac:dyDescent="0.15">
      <c r="A89" s="863" t="s">
        <v>193</v>
      </c>
      <c r="B89" s="863"/>
      <c r="C89" s="863"/>
      <c r="D89" s="863"/>
      <c r="E89" s="863"/>
      <c r="F89" s="863"/>
      <c r="G89" s="863"/>
      <c r="H89" s="863"/>
    </row>
    <row r="100" spans="1:8" x14ac:dyDescent="0.15">
      <c r="A100" s="863" t="s">
        <v>194</v>
      </c>
      <c r="B100" s="863"/>
      <c r="C100" s="863"/>
      <c r="D100" s="863"/>
      <c r="E100" s="863"/>
      <c r="F100" s="863"/>
      <c r="G100" s="863"/>
      <c r="H100" s="863"/>
    </row>
    <row r="111" spans="1:8" x14ac:dyDescent="0.15">
      <c r="A111" s="863" t="s">
        <v>195</v>
      </c>
      <c r="B111" s="863"/>
      <c r="C111" s="863"/>
      <c r="D111" s="863"/>
      <c r="E111" s="863"/>
      <c r="F111" s="863"/>
      <c r="G111" s="863"/>
      <c r="H111" s="863"/>
    </row>
    <row r="122" spans="1:8" x14ac:dyDescent="0.15">
      <c r="A122" s="863" t="s">
        <v>196</v>
      </c>
      <c r="B122" s="863"/>
      <c r="C122" s="863"/>
      <c r="D122" s="863"/>
      <c r="E122" s="863"/>
      <c r="F122" s="863"/>
      <c r="G122" s="863"/>
      <c r="H122" s="863"/>
    </row>
    <row r="123" spans="1:8" ht="16" x14ac:dyDescent="0.2">
      <c r="A123" s="943" t="s">
        <v>599</v>
      </c>
      <c r="C123" s="47"/>
    </row>
    <row r="124" spans="1:8" ht="16" x14ac:dyDescent="0.2">
      <c r="A124" s="943" t="s">
        <v>598</v>
      </c>
    </row>
    <row r="125" spans="1:8" ht="16" x14ac:dyDescent="0.2">
      <c r="A125" s="943" t="s">
        <v>600</v>
      </c>
    </row>
    <row r="126" spans="1:8" ht="16" x14ac:dyDescent="0.2">
      <c r="A126" s="943" t="s">
        <v>601</v>
      </c>
    </row>
  </sheetData>
  <mergeCells count="12">
    <mergeCell ref="A122:H122"/>
    <mergeCell ref="A3:H3"/>
    <mergeCell ref="A14:H14"/>
    <mergeCell ref="A25:H25"/>
    <mergeCell ref="A36:H36"/>
    <mergeCell ref="A46:H46"/>
    <mergeCell ref="A56:H56"/>
    <mergeCell ref="A67:H67"/>
    <mergeCell ref="A78:H78"/>
    <mergeCell ref="A89:H89"/>
    <mergeCell ref="A100:H100"/>
    <mergeCell ref="A111:H111"/>
  </mergeCells>
  <phoneticPr fontId="2" type="noConversion"/>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8" tint="0.79998168889431442"/>
    <pageSetUpPr fitToPage="1"/>
  </sheetPr>
  <dimension ref="A1:P100"/>
  <sheetViews>
    <sheetView showGridLines="0" showRowColHeaders="0" workbookViewId="0">
      <selection activeCell="C4" sqref="C4"/>
    </sheetView>
  </sheetViews>
  <sheetFormatPr baseColWidth="10" defaultColWidth="9.1640625" defaultRowHeight="15" x14ac:dyDescent="0.15"/>
  <cols>
    <col min="1" max="1" width="36.83203125" style="211" customWidth="1"/>
    <col min="2" max="2" width="17" style="211" customWidth="1"/>
    <col min="3" max="14" width="7.33203125" style="211" customWidth="1"/>
    <col min="15" max="16384" width="9.1640625" style="211"/>
  </cols>
  <sheetData>
    <row r="1" spans="1:16" ht="34.5" customHeight="1" x14ac:dyDescent="0.15">
      <c r="A1" s="864" t="s">
        <v>373</v>
      </c>
      <c r="B1" s="865"/>
      <c r="C1" s="865"/>
      <c r="D1" s="865"/>
      <c r="E1" s="865"/>
      <c r="F1" s="865"/>
      <c r="G1" s="865"/>
      <c r="H1" s="865"/>
      <c r="I1" s="865"/>
      <c r="J1" s="865"/>
      <c r="K1" s="865"/>
      <c r="L1" s="865"/>
      <c r="M1" s="865"/>
      <c r="N1" s="866"/>
      <c r="P1" s="593"/>
    </row>
    <row r="2" spans="1:16" s="586" customFormat="1" ht="45.75" customHeight="1" x14ac:dyDescent="0.15">
      <c r="A2" s="867" t="s">
        <v>384</v>
      </c>
      <c r="B2" s="868"/>
      <c r="C2" s="868"/>
      <c r="D2" s="868"/>
      <c r="E2" s="868"/>
      <c r="F2" s="868"/>
      <c r="G2" s="868"/>
      <c r="H2" s="868"/>
      <c r="I2" s="868"/>
      <c r="J2" s="868"/>
      <c r="K2" s="868"/>
      <c r="L2" s="868"/>
      <c r="M2" s="868"/>
      <c r="N2" s="869"/>
      <c r="P2" s="594"/>
    </row>
    <row r="3" spans="1:16" ht="18" customHeight="1" x14ac:dyDescent="0.15">
      <c r="A3" s="212" t="s">
        <v>67</v>
      </c>
      <c r="B3" s="213" t="s">
        <v>21</v>
      </c>
      <c r="C3" s="214" t="s">
        <v>35</v>
      </c>
      <c r="D3" s="215" t="s">
        <v>36</v>
      </c>
      <c r="E3" s="215" t="s">
        <v>37</v>
      </c>
      <c r="F3" s="215" t="s">
        <v>38</v>
      </c>
      <c r="G3" s="215" t="s">
        <v>20</v>
      </c>
      <c r="H3" s="215" t="s">
        <v>39</v>
      </c>
      <c r="I3" s="215" t="s">
        <v>29</v>
      </c>
      <c r="J3" s="215" t="s">
        <v>30</v>
      </c>
      <c r="K3" s="215" t="s">
        <v>31</v>
      </c>
      <c r="L3" s="215" t="s">
        <v>32</v>
      </c>
      <c r="M3" s="215" t="s">
        <v>33</v>
      </c>
      <c r="N3" s="216" t="s">
        <v>34</v>
      </c>
    </row>
    <row r="4" spans="1:16" x14ac:dyDescent="0.15">
      <c r="A4" s="217" t="str">
        <f>IF('Closed Transactions'!F3="","",'Closed Transactions'!F3)</f>
        <v>Kevin Zhao</v>
      </c>
      <c r="B4" s="218">
        <f>IF('Closed Transactions'!A3="","",'Closed Transactions'!A3)</f>
        <v>45667</v>
      </c>
      <c r="C4" s="587"/>
      <c r="D4" s="588"/>
      <c r="E4" s="588"/>
      <c r="F4" s="588"/>
      <c r="G4" s="588"/>
      <c r="H4" s="588"/>
      <c r="I4" s="588"/>
      <c r="J4" s="588"/>
      <c r="K4" s="588"/>
      <c r="L4" s="588"/>
      <c r="M4" s="588"/>
      <c r="N4" s="589"/>
    </row>
    <row r="5" spans="1:16" x14ac:dyDescent="0.15">
      <c r="A5" s="219" t="str">
        <f>IF('Closed Transactions'!F4="","",'Closed Transactions'!F4)</f>
        <v>Cristina Samaha</v>
      </c>
      <c r="B5" s="220">
        <f>IF('Closed Transactions'!A4="","",'Closed Transactions'!A4)</f>
        <v>45706</v>
      </c>
      <c r="C5" s="590"/>
      <c r="D5" s="591"/>
      <c r="E5" s="591"/>
      <c r="F5" s="591"/>
      <c r="G5" s="591"/>
      <c r="H5" s="591"/>
      <c r="I5" s="591"/>
      <c r="J5" s="591"/>
      <c r="K5" s="591"/>
      <c r="L5" s="591"/>
      <c r="M5" s="591"/>
      <c r="N5" s="592"/>
    </row>
    <row r="6" spans="1:16" x14ac:dyDescent="0.15">
      <c r="A6" s="217" t="str">
        <f>IF('Closed Transactions'!F5="","",'Closed Transactions'!F5)</f>
        <v>Kim &amp; Damon Sidur</v>
      </c>
      <c r="B6" s="218">
        <f>IF('Closed Transactions'!A5="","",'Closed Transactions'!A5)</f>
        <v>45717</v>
      </c>
      <c r="C6" s="587"/>
      <c r="D6" s="588"/>
      <c r="E6" s="588"/>
      <c r="F6" s="588"/>
      <c r="G6" s="588"/>
      <c r="H6" s="588"/>
      <c r="I6" s="588"/>
      <c r="J6" s="588"/>
      <c r="K6" s="588"/>
      <c r="L6" s="588"/>
      <c r="M6" s="588"/>
      <c r="N6" s="589"/>
    </row>
    <row r="7" spans="1:16" x14ac:dyDescent="0.15">
      <c r="A7" s="219" t="str">
        <f>IF('Closed Transactions'!F6="","",'Closed Transactions'!F6)</f>
        <v>Anne Duffy, Elizabeth &amp; Ariel</v>
      </c>
      <c r="B7" s="220">
        <f>IF('Closed Transactions'!A6="","",'Closed Transactions'!A6)</f>
        <v>45724</v>
      </c>
      <c r="C7" s="590"/>
      <c r="D7" s="591"/>
      <c r="E7" s="591"/>
      <c r="F7" s="591"/>
      <c r="G7" s="591"/>
      <c r="H7" s="591"/>
      <c r="I7" s="591"/>
      <c r="J7" s="591"/>
      <c r="K7" s="591"/>
      <c r="L7" s="591"/>
      <c r="M7" s="591"/>
      <c r="N7" s="592"/>
    </row>
    <row r="8" spans="1:16" x14ac:dyDescent="0.15">
      <c r="A8" s="217" t="str">
        <f>IF('Closed Transactions'!F7="","",'Closed Transactions'!F7)</f>
        <v>Lindsey Jasper &amp; Ben Fielder</v>
      </c>
      <c r="B8" s="218">
        <f>IF('Closed Transactions'!A7="","",'Closed Transactions'!A7)</f>
        <v>45757</v>
      </c>
      <c r="C8" s="587"/>
      <c r="D8" s="588"/>
      <c r="E8" s="588"/>
      <c r="F8" s="588"/>
      <c r="G8" s="588"/>
      <c r="H8" s="588"/>
      <c r="I8" s="588"/>
      <c r="J8" s="588"/>
      <c r="K8" s="588"/>
      <c r="L8" s="588"/>
      <c r="M8" s="588"/>
      <c r="N8" s="589"/>
    </row>
    <row r="9" spans="1:16" x14ac:dyDescent="0.15">
      <c r="A9" s="219" t="str">
        <f>IF('Closed Transactions'!F8="","",'Closed Transactions'!F8)</f>
        <v>Doug Church</v>
      </c>
      <c r="B9" s="220">
        <f>IF('Closed Transactions'!A8="","",'Closed Transactions'!A8)</f>
        <v>45758</v>
      </c>
      <c r="C9" s="590"/>
      <c r="D9" s="591"/>
      <c r="E9" s="591"/>
      <c r="F9" s="591"/>
      <c r="G9" s="591"/>
      <c r="H9" s="591"/>
      <c r="I9" s="591"/>
      <c r="J9" s="591"/>
      <c r="K9" s="591"/>
      <c r="L9" s="591"/>
      <c r="M9" s="591"/>
      <c r="N9" s="592"/>
    </row>
    <row r="10" spans="1:16" x14ac:dyDescent="0.15">
      <c r="A10" s="217" t="str">
        <f>IF('Closed Transactions'!F9="","",'Closed Transactions'!F9)</f>
        <v>Ashraf Kadri</v>
      </c>
      <c r="B10" s="218">
        <f>IF('Closed Transactions'!A9="","",'Closed Transactions'!A9)</f>
        <v>45828</v>
      </c>
      <c r="C10" s="587"/>
      <c r="D10" s="588"/>
      <c r="E10" s="588"/>
      <c r="F10" s="588"/>
      <c r="G10" s="588"/>
      <c r="H10" s="588"/>
      <c r="I10" s="588"/>
      <c r="J10" s="588"/>
      <c r="K10" s="588"/>
      <c r="L10" s="588"/>
      <c r="M10" s="588"/>
      <c r="N10" s="589"/>
    </row>
    <row r="11" spans="1:16" x14ac:dyDescent="0.15">
      <c r="A11" s="219" t="str">
        <f>IF('Closed Transactions'!F10="","",'Closed Transactions'!F10)</f>
        <v>Nathan Desnoyers</v>
      </c>
      <c r="B11" s="220">
        <f>IF('Closed Transactions'!A10="","",'Closed Transactions'!A10)</f>
        <v>45838</v>
      </c>
      <c r="C11" s="590"/>
      <c r="D11" s="591"/>
      <c r="E11" s="591"/>
      <c r="F11" s="591"/>
      <c r="G11" s="591"/>
      <c r="H11" s="591"/>
      <c r="I11" s="591"/>
      <c r="J11" s="591"/>
      <c r="K11" s="591"/>
      <c r="L11" s="591"/>
      <c r="M11" s="591"/>
      <c r="N11" s="592"/>
    </row>
    <row r="12" spans="1:16" x14ac:dyDescent="0.15">
      <c r="A12" s="217" t="str">
        <f>IF('Closed Transactions'!F11="","",'Closed Transactions'!F11)</f>
        <v>Saria Alshaikhalia</v>
      </c>
      <c r="B12" s="218">
        <f>IF('Closed Transactions'!A11="","",'Closed Transactions'!A11)</f>
        <v>45839</v>
      </c>
      <c r="C12" s="587"/>
      <c r="D12" s="588"/>
      <c r="E12" s="588"/>
      <c r="F12" s="588"/>
      <c r="G12" s="588"/>
      <c r="H12" s="588"/>
      <c r="I12" s="588"/>
      <c r="J12" s="588"/>
      <c r="K12" s="588"/>
      <c r="L12" s="588"/>
      <c r="M12" s="588"/>
      <c r="N12" s="589"/>
    </row>
    <row r="13" spans="1:16" x14ac:dyDescent="0.15">
      <c r="A13" s="219" t="str">
        <f>IF('Closed Transactions'!F12="","",'Closed Transactions'!F12)</f>
        <v>Sneha Durgapal &amp; Alex Hennessy</v>
      </c>
      <c r="B13" s="220">
        <f>IF('Closed Transactions'!A12="","",'Closed Transactions'!A12)</f>
        <v>45839</v>
      </c>
      <c r="C13" s="590"/>
      <c r="D13" s="591"/>
      <c r="E13" s="591"/>
      <c r="F13" s="591"/>
      <c r="G13" s="591"/>
      <c r="H13" s="591"/>
      <c r="I13" s="591"/>
      <c r="J13" s="591"/>
      <c r="K13" s="591"/>
      <c r="L13" s="591"/>
      <c r="M13" s="591"/>
      <c r="N13" s="592"/>
    </row>
    <row r="14" spans="1:16" x14ac:dyDescent="0.15">
      <c r="A14" s="217" t="str">
        <f>IF('Closed Transactions'!F13="","",'Closed Transactions'!F13)</f>
        <v>Jared Traggic &amp; Kiana Spearman</v>
      </c>
      <c r="B14" s="218">
        <f>IF('Closed Transactions'!A13="","",'Closed Transactions'!A13)</f>
        <v>45845</v>
      </c>
      <c r="C14" s="587"/>
      <c r="D14" s="588"/>
      <c r="E14" s="588"/>
      <c r="F14" s="588"/>
      <c r="G14" s="588"/>
      <c r="H14" s="588"/>
      <c r="I14" s="588"/>
      <c r="J14" s="588"/>
      <c r="K14" s="588"/>
      <c r="L14" s="588"/>
      <c r="M14" s="588"/>
      <c r="N14" s="589"/>
    </row>
    <row r="15" spans="1:16" x14ac:dyDescent="0.15">
      <c r="A15" s="219" t="str">
        <f>IF('Closed Transactions'!F14="","",'Closed Transactions'!F14)</f>
        <v>Kristine &amp; Ken Delos Reyes</v>
      </c>
      <c r="B15" s="220">
        <f>IF('Closed Transactions'!A14="","",'Closed Transactions'!A14)</f>
        <v>45853</v>
      </c>
      <c r="C15" s="590"/>
      <c r="D15" s="591"/>
      <c r="E15" s="591"/>
      <c r="F15" s="591"/>
      <c r="G15" s="591"/>
      <c r="H15" s="591"/>
      <c r="I15" s="591"/>
      <c r="J15" s="591"/>
      <c r="K15" s="591"/>
      <c r="L15" s="591"/>
      <c r="M15" s="591"/>
      <c r="N15" s="592"/>
    </row>
    <row r="16" spans="1:16" x14ac:dyDescent="0.15">
      <c r="A16" s="217" t="str">
        <f>IF('Closed Transactions'!F15="","",'Closed Transactions'!F15)</f>
        <v>Anne Duffy, Joshua Foote, Kate McCusker</v>
      </c>
      <c r="B16" s="218">
        <f>IF('Closed Transactions'!A15="","",'Closed Transactions'!A15)</f>
        <v>45884</v>
      </c>
      <c r="C16" s="587"/>
      <c r="D16" s="588"/>
      <c r="E16" s="588"/>
      <c r="F16" s="588"/>
      <c r="G16" s="588"/>
      <c r="H16" s="588"/>
      <c r="I16" s="588"/>
      <c r="J16" s="588"/>
      <c r="K16" s="588"/>
      <c r="L16" s="588"/>
      <c r="M16" s="588"/>
      <c r="N16" s="589"/>
    </row>
    <row r="17" spans="1:14" x14ac:dyDescent="0.15">
      <c r="A17" s="219" t="str">
        <f>IF('Closed Transactions'!F16="","",'Closed Transactions'!F16)</f>
        <v>Cintia Samaha Desnoyers</v>
      </c>
      <c r="B17" s="220">
        <f>IF('Closed Transactions'!A16="","",'Closed Transactions'!A16)</f>
        <v>45903</v>
      </c>
      <c r="C17" s="590"/>
      <c r="D17" s="591"/>
      <c r="E17" s="591"/>
      <c r="F17" s="591"/>
      <c r="G17" s="591"/>
      <c r="H17" s="591"/>
      <c r="I17" s="591"/>
      <c r="J17" s="591"/>
      <c r="K17" s="591"/>
      <c r="L17" s="591"/>
      <c r="M17" s="591"/>
      <c r="N17" s="592"/>
    </row>
    <row r="18" spans="1:14" x14ac:dyDescent="0.15">
      <c r="A18" s="217" t="str">
        <f>IF('Closed Transactions'!F17="","",'Closed Transactions'!F17)</f>
        <v>Ashleigh Verma &amp; Tapinder Garcha</v>
      </c>
      <c r="B18" s="218">
        <f>IF('Closed Transactions'!A17="","",'Closed Transactions'!A17)</f>
        <v>45910</v>
      </c>
      <c r="C18" s="587"/>
      <c r="D18" s="588"/>
      <c r="E18" s="588"/>
      <c r="F18" s="588"/>
      <c r="G18" s="588"/>
      <c r="H18" s="588"/>
      <c r="I18" s="588"/>
      <c r="J18" s="588"/>
      <c r="K18" s="588"/>
      <c r="L18" s="588"/>
      <c r="M18" s="588"/>
      <c r="N18" s="589"/>
    </row>
    <row r="19" spans="1:14" x14ac:dyDescent="0.15">
      <c r="A19" s="219" t="str">
        <f>IF('Closed Transactions'!F18="","",'Closed Transactions'!F18)</f>
        <v>Cintia Samaha Desnoyers</v>
      </c>
      <c r="B19" s="220">
        <f>IF('Closed Transactions'!A18="","",'Closed Transactions'!A18)</f>
        <v>45920</v>
      </c>
      <c r="C19" s="590"/>
      <c r="D19" s="591"/>
      <c r="E19" s="591"/>
      <c r="F19" s="591"/>
      <c r="G19" s="591"/>
      <c r="H19" s="591"/>
      <c r="I19" s="591"/>
      <c r="J19" s="591"/>
      <c r="K19" s="591"/>
      <c r="L19" s="591"/>
      <c r="M19" s="591"/>
      <c r="N19" s="592"/>
    </row>
    <row r="20" spans="1:14" x14ac:dyDescent="0.15">
      <c r="A20" s="217" t="str">
        <f>IF('Closed Transactions'!F19="","",'Closed Transactions'!F19)</f>
        <v>Noel Contreras</v>
      </c>
      <c r="B20" s="218">
        <f>IF('Closed Transactions'!A19="","",'Closed Transactions'!A19)</f>
        <v>45981</v>
      </c>
      <c r="C20" s="587"/>
      <c r="D20" s="588"/>
      <c r="E20" s="588"/>
      <c r="F20" s="588"/>
      <c r="G20" s="588"/>
      <c r="H20" s="588"/>
      <c r="I20" s="588"/>
      <c r="J20" s="588"/>
      <c r="K20" s="588"/>
      <c r="L20" s="588"/>
      <c r="M20" s="588"/>
      <c r="N20" s="589"/>
    </row>
    <row r="21" spans="1:14" x14ac:dyDescent="0.15">
      <c r="A21" s="219" t="str">
        <f>IF('Closed Transactions'!F20="","",'Closed Transactions'!F20)</f>
        <v/>
      </c>
      <c r="B21" s="220" t="str">
        <f>IF('Closed Transactions'!A20="","",'Closed Transactions'!A20)</f>
        <v/>
      </c>
      <c r="C21" s="590"/>
      <c r="D21" s="591"/>
      <c r="E21" s="591"/>
      <c r="F21" s="591"/>
      <c r="G21" s="591"/>
      <c r="H21" s="591"/>
      <c r="I21" s="591"/>
      <c r="J21" s="591"/>
      <c r="K21" s="591"/>
      <c r="L21" s="591"/>
      <c r="M21" s="591"/>
      <c r="N21" s="592"/>
    </row>
    <row r="22" spans="1:14" x14ac:dyDescent="0.15">
      <c r="A22" s="217" t="str">
        <f>IF('Closed Transactions'!F21="","",'Closed Transactions'!F21)</f>
        <v/>
      </c>
      <c r="B22" s="218" t="str">
        <f>IF('Closed Transactions'!A21="","",'Closed Transactions'!A21)</f>
        <v/>
      </c>
      <c r="C22" s="587"/>
      <c r="D22" s="588"/>
      <c r="E22" s="588"/>
      <c r="F22" s="588"/>
      <c r="G22" s="588"/>
      <c r="H22" s="588"/>
      <c r="I22" s="588"/>
      <c r="J22" s="588"/>
      <c r="K22" s="588"/>
      <c r="L22" s="588"/>
      <c r="M22" s="588"/>
      <c r="N22" s="589"/>
    </row>
    <row r="23" spans="1:14" x14ac:dyDescent="0.15">
      <c r="A23" s="219" t="str">
        <f>IF('Closed Transactions'!F22="","",'Closed Transactions'!F22)</f>
        <v/>
      </c>
      <c r="B23" s="220" t="str">
        <f>IF('Closed Transactions'!A22="","",'Closed Transactions'!A22)</f>
        <v/>
      </c>
      <c r="C23" s="590"/>
      <c r="D23" s="591"/>
      <c r="E23" s="591"/>
      <c r="F23" s="591"/>
      <c r="G23" s="591"/>
      <c r="H23" s="591"/>
      <c r="I23" s="591"/>
      <c r="J23" s="591"/>
      <c r="K23" s="591"/>
      <c r="L23" s="591"/>
      <c r="M23" s="591"/>
      <c r="N23" s="592"/>
    </row>
    <row r="24" spans="1:14" x14ac:dyDescent="0.15">
      <c r="A24" s="217" t="str">
        <f>IF('Closed Transactions'!F23="","",'Closed Transactions'!F23)</f>
        <v/>
      </c>
      <c r="B24" s="218" t="str">
        <f>IF('Closed Transactions'!A23="","",'Closed Transactions'!A23)</f>
        <v/>
      </c>
      <c r="C24" s="587"/>
      <c r="D24" s="588"/>
      <c r="E24" s="588"/>
      <c r="F24" s="588"/>
      <c r="G24" s="588"/>
      <c r="H24" s="588"/>
      <c r="I24" s="588"/>
      <c r="J24" s="588"/>
      <c r="K24" s="588"/>
      <c r="L24" s="588"/>
      <c r="M24" s="588"/>
      <c r="N24" s="589"/>
    </row>
    <row r="25" spans="1:14" x14ac:dyDescent="0.15">
      <c r="A25" s="219" t="str">
        <f>IF('Closed Transactions'!F24="","",'Closed Transactions'!F24)</f>
        <v/>
      </c>
      <c r="B25" s="220" t="str">
        <f>IF('Closed Transactions'!A24="","",'Closed Transactions'!A24)</f>
        <v/>
      </c>
      <c r="C25" s="590"/>
      <c r="D25" s="591"/>
      <c r="E25" s="591"/>
      <c r="F25" s="591"/>
      <c r="G25" s="591"/>
      <c r="H25" s="591"/>
      <c r="I25" s="591"/>
      <c r="J25" s="591"/>
      <c r="K25" s="591"/>
      <c r="L25" s="591"/>
      <c r="M25" s="591"/>
      <c r="N25" s="592"/>
    </row>
    <row r="26" spans="1:14" x14ac:dyDescent="0.15">
      <c r="A26" s="217" t="str">
        <f>IF('Closed Transactions'!F25="","",'Closed Transactions'!F25)</f>
        <v/>
      </c>
      <c r="B26" s="218" t="str">
        <f>IF('Closed Transactions'!A25="","",'Closed Transactions'!A25)</f>
        <v/>
      </c>
      <c r="C26" s="587"/>
      <c r="D26" s="588"/>
      <c r="E26" s="588"/>
      <c r="F26" s="588"/>
      <c r="G26" s="588"/>
      <c r="H26" s="588"/>
      <c r="I26" s="588"/>
      <c r="J26" s="588"/>
      <c r="K26" s="588"/>
      <c r="L26" s="588"/>
      <c r="M26" s="588"/>
      <c r="N26" s="589"/>
    </row>
    <row r="27" spans="1:14" x14ac:dyDescent="0.15">
      <c r="A27" s="219" t="str">
        <f>IF('Closed Transactions'!F26="","",'Closed Transactions'!F26)</f>
        <v/>
      </c>
      <c r="B27" s="220" t="str">
        <f>IF('Closed Transactions'!A26="","",'Closed Transactions'!A26)</f>
        <v/>
      </c>
      <c r="C27" s="590"/>
      <c r="D27" s="591"/>
      <c r="E27" s="591"/>
      <c r="F27" s="591"/>
      <c r="G27" s="591"/>
      <c r="H27" s="591"/>
      <c r="I27" s="591"/>
      <c r="J27" s="591"/>
      <c r="K27" s="591"/>
      <c r="L27" s="591"/>
      <c r="M27" s="591"/>
      <c r="N27" s="592"/>
    </row>
    <row r="28" spans="1:14" x14ac:dyDescent="0.15">
      <c r="A28" s="217" t="str">
        <f>IF('Closed Transactions'!F27="","",'Closed Transactions'!F27)</f>
        <v/>
      </c>
      <c r="B28" s="218" t="str">
        <f>IF('Closed Transactions'!A27="","",'Closed Transactions'!A27)</f>
        <v/>
      </c>
      <c r="C28" s="587"/>
      <c r="D28" s="588"/>
      <c r="E28" s="588"/>
      <c r="F28" s="588"/>
      <c r="G28" s="588"/>
      <c r="H28" s="588"/>
      <c r="I28" s="588"/>
      <c r="J28" s="588"/>
      <c r="K28" s="588"/>
      <c r="L28" s="588"/>
      <c r="M28" s="588"/>
      <c r="N28" s="589"/>
    </row>
    <row r="29" spans="1:14" x14ac:dyDescent="0.15">
      <c r="A29" s="219" t="str">
        <f>IF('Closed Transactions'!F28="","",'Closed Transactions'!F28)</f>
        <v/>
      </c>
      <c r="B29" s="220" t="str">
        <f>IF('Closed Transactions'!A28="","",'Closed Transactions'!A28)</f>
        <v/>
      </c>
      <c r="C29" s="590"/>
      <c r="D29" s="591"/>
      <c r="E29" s="591"/>
      <c r="F29" s="591"/>
      <c r="G29" s="591"/>
      <c r="H29" s="591"/>
      <c r="I29" s="591"/>
      <c r="J29" s="591"/>
      <c r="K29" s="591"/>
      <c r="L29" s="591"/>
      <c r="M29" s="591"/>
      <c r="N29" s="592"/>
    </row>
    <row r="30" spans="1:14" x14ac:dyDescent="0.15">
      <c r="A30" s="217" t="str">
        <f>IF('Closed Transactions'!F29="","",'Closed Transactions'!F29)</f>
        <v/>
      </c>
      <c r="B30" s="218" t="str">
        <f>IF('Closed Transactions'!A29="","",'Closed Transactions'!A29)</f>
        <v/>
      </c>
      <c r="C30" s="587"/>
      <c r="D30" s="588"/>
      <c r="E30" s="588"/>
      <c r="F30" s="588"/>
      <c r="G30" s="588"/>
      <c r="H30" s="588"/>
      <c r="I30" s="588"/>
      <c r="J30" s="588"/>
      <c r="K30" s="588"/>
      <c r="L30" s="588"/>
      <c r="M30" s="588"/>
      <c r="N30" s="589"/>
    </row>
    <row r="31" spans="1:14" x14ac:dyDescent="0.15">
      <c r="A31" s="219" t="str">
        <f>IF('Closed Transactions'!F30="","",'Closed Transactions'!F30)</f>
        <v/>
      </c>
      <c r="B31" s="220" t="str">
        <f>IF('Closed Transactions'!A30="","",'Closed Transactions'!A30)</f>
        <v/>
      </c>
      <c r="C31" s="590"/>
      <c r="D31" s="591"/>
      <c r="E31" s="591"/>
      <c r="F31" s="591"/>
      <c r="G31" s="591"/>
      <c r="H31" s="591"/>
      <c r="I31" s="591"/>
      <c r="J31" s="591"/>
      <c r="K31" s="591"/>
      <c r="L31" s="591"/>
      <c r="M31" s="591"/>
      <c r="N31" s="592"/>
    </row>
    <row r="32" spans="1:14" x14ac:dyDescent="0.15">
      <c r="A32" s="217" t="str">
        <f>IF('Closed Transactions'!F31="","",'Closed Transactions'!F31)</f>
        <v/>
      </c>
      <c r="B32" s="218" t="str">
        <f>IF('Closed Transactions'!A31="","",'Closed Transactions'!A31)</f>
        <v/>
      </c>
      <c r="C32" s="587"/>
      <c r="D32" s="588"/>
      <c r="E32" s="588"/>
      <c r="F32" s="588"/>
      <c r="G32" s="588"/>
      <c r="H32" s="588"/>
      <c r="I32" s="588"/>
      <c r="J32" s="588"/>
      <c r="K32" s="588"/>
      <c r="L32" s="588"/>
      <c r="M32" s="588"/>
      <c r="N32" s="589"/>
    </row>
    <row r="33" spans="1:14" x14ac:dyDescent="0.15">
      <c r="A33" s="219" t="str">
        <f>IF('Closed Transactions'!F32="","",'Closed Transactions'!F32)</f>
        <v/>
      </c>
      <c r="B33" s="220" t="str">
        <f>IF('Closed Transactions'!A32="","",'Closed Transactions'!A32)</f>
        <v/>
      </c>
      <c r="C33" s="590"/>
      <c r="D33" s="591"/>
      <c r="E33" s="591"/>
      <c r="F33" s="591"/>
      <c r="G33" s="591"/>
      <c r="H33" s="591"/>
      <c r="I33" s="591"/>
      <c r="J33" s="591"/>
      <c r="K33" s="591"/>
      <c r="L33" s="591"/>
      <c r="M33" s="591"/>
      <c r="N33" s="592"/>
    </row>
    <row r="34" spans="1:14" x14ac:dyDescent="0.15">
      <c r="A34" s="217" t="str">
        <f>IF('Closed Transactions'!F33="","",'Closed Transactions'!F33)</f>
        <v/>
      </c>
      <c r="B34" s="218" t="str">
        <f>IF('Closed Transactions'!A33="","",'Closed Transactions'!A33)</f>
        <v/>
      </c>
      <c r="C34" s="587"/>
      <c r="D34" s="588"/>
      <c r="E34" s="588"/>
      <c r="F34" s="588"/>
      <c r="G34" s="588"/>
      <c r="H34" s="588"/>
      <c r="I34" s="588"/>
      <c r="J34" s="588"/>
      <c r="K34" s="588"/>
      <c r="L34" s="588"/>
      <c r="M34" s="588"/>
      <c r="N34" s="589"/>
    </row>
    <row r="35" spans="1:14" x14ac:dyDescent="0.15">
      <c r="A35" s="219" t="str">
        <f>IF('Closed Transactions'!F34="","",'Closed Transactions'!F34)</f>
        <v/>
      </c>
      <c r="B35" s="220" t="str">
        <f>IF('Closed Transactions'!A34="","",'Closed Transactions'!A34)</f>
        <v/>
      </c>
      <c r="C35" s="590"/>
      <c r="D35" s="591"/>
      <c r="E35" s="591"/>
      <c r="F35" s="591"/>
      <c r="G35" s="591"/>
      <c r="H35" s="591"/>
      <c r="I35" s="591"/>
      <c r="J35" s="591"/>
      <c r="K35" s="591"/>
      <c r="L35" s="591"/>
      <c r="M35" s="591"/>
      <c r="N35" s="592"/>
    </row>
    <row r="36" spans="1:14" x14ac:dyDescent="0.15">
      <c r="A36" s="217" t="str">
        <f>IF('Closed Transactions'!F35="","",'Closed Transactions'!F35)</f>
        <v/>
      </c>
      <c r="B36" s="218" t="str">
        <f>IF('Closed Transactions'!A35="","",'Closed Transactions'!A35)</f>
        <v/>
      </c>
      <c r="C36" s="587"/>
      <c r="D36" s="588"/>
      <c r="E36" s="588"/>
      <c r="F36" s="588"/>
      <c r="G36" s="588"/>
      <c r="H36" s="588"/>
      <c r="I36" s="588"/>
      <c r="J36" s="588"/>
      <c r="K36" s="588"/>
      <c r="L36" s="588"/>
      <c r="M36" s="588"/>
      <c r="N36" s="589"/>
    </row>
    <row r="37" spans="1:14" x14ac:dyDescent="0.15">
      <c r="A37" s="219" t="str">
        <f>IF('Closed Transactions'!F36="","",'Closed Transactions'!F36)</f>
        <v/>
      </c>
      <c r="B37" s="220" t="str">
        <f>IF('Closed Transactions'!A36="","",'Closed Transactions'!A36)</f>
        <v/>
      </c>
      <c r="C37" s="590"/>
      <c r="D37" s="591"/>
      <c r="E37" s="591"/>
      <c r="F37" s="591"/>
      <c r="G37" s="591"/>
      <c r="H37" s="591"/>
      <c r="I37" s="591"/>
      <c r="J37" s="591"/>
      <c r="K37" s="591"/>
      <c r="L37" s="591"/>
      <c r="M37" s="591"/>
      <c r="N37" s="592"/>
    </row>
    <row r="38" spans="1:14" x14ac:dyDescent="0.15">
      <c r="A38" s="217" t="str">
        <f>IF('Closed Transactions'!F37="","",'Closed Transactions'!F37)</f>
        <v/>
      </c>
      <c r="B38" s="218" t="str">
        <f>IF('Closed Transactions'!A37="","",'Closed Transactions'!A37)</f>
        <v/>
      </c>
      <c r="C38" s="587"/>
      <c r="D38" s="588"/>
      <c r="E38" s="588"/>
      <c r="F38" s="588"/>
      <c r="G38" s="588"/>
      <c r="H38" s="588"/>
      <c r="I38" s="588"/>
      <c r="J38" s="588"/>
      <c r="K38" s="588"/>
      <c r="L38" s="588"/>
      <c r="M38" s="588"/>
      <c r="N38" s="589"/>
    </row>
    <row r="39" spans="1:14" x14ac:dyDescent="0.15">
      <c r="A39" s="219" t="str">
        <f>IF('Closed Transactions'!F38="","",'Closed Transactions'!F38)</f>
        <v/>
      </c>
      <c r="B39" s="220" t="str">
        <f>IF('Closed Transactions'!A38="","",'Closed Transactions'!A38)</f>
        <v/>
      </c>
      <c r="C39" s="590"/>
      <c r="D39" s="591"/>
      <c r="E39" s="591"/>
      <c r="F39" s="591"/>
      <c r="G39" s="591"/>
      <c r="H39" s="591"/>
      <c r="I39" s="591"/>
      <c r="J39" s="591"/>
      <c r="K39" s="591"/>
      <c r="L39" s="591"/>
      <c r="M39" s="591"/>
      <c r="N39" s="592"/>
    </row>
    <row r="40" spans="1:14" x14ac:dyDescent="0.15">
      <c r="A40" s="217" t="str">
        <f>IF('Closed Transactions'!F39="","",'Closed Transactions'!F39)</f>
        <v/>
      </c>
      <c r="B40" s="218" t="str">
        <f>IF('Closed Transactions'!A39="","",'Closed Transactions'!A39)</f>
        <v/>
      </c>
      <c r="C40" s="587"/>
      <c r="D40" s="588"/>
      <c r="E40" s="588"/>
      <c r="F40" s="588"/>
      <c r="G40" s="588"/>
      <c r="H40" s="588"/>
      <c r="I40" s="588"/>
      <c r="J40" s="588"/>
      <c r="K40" s="588"/>
      <c r="L40" s="588"/>
      <c r="M40" s="588"/>
      <c r="N40" s="589"/>
    </row>
    <row r="41" spans="1:14" x14ac:dyDescent="0.15">
      <c r="A41" s="219" t="str">
        <f>IF('Closed Transactions'!F40="","",'Closed Transactions'!F40)</f>
        <v/>
      </c>
      <c r="B41" s="220" t="str">
        <f>IF('Closed Transactions'!A40="","",'Closed Transactions'!A40)</f>
        <v/>
      </c>
      <c r="C41" s="590"/>
      <c r="D41" s="591"/>
      <c r="E41" s="591"/>
      <c r="F41" s="591"/>
      <c r="G41" s="591"/>
      <c r="H41" s="591"/>
      <c r="I41" s="591"/>
      <c r="J41" s="591"/>
      <c r="K41" s="591"/>
      <c r="L41" s="591"/>
      <c r="M41" s="591"/>
      <c r="N41" s="592"/>
    </row>
    <row r="42" spans="1:14" x14ac:dyDescent="0.15">
      <c r="A42" s="217" t="str">
        <f>IF('Closed Transactions'!F41="","",'Closed Transactions'!F41)</f>
        <v/>
      </c>
      <c r="B42" s="218" t="str">
        <f>IF('Closed Transactions'!A41="","",'Closed Transactions'!A41)</f>
        <v/>
      </c>
      <c r="C42" s="587"/>
      <c r="D42" s="588"/>
      <c r="E42" s="588"/>
      <c r="F42" s="588"/>
      <c r="G42" s="588"/>
      <c r="H42" s="588"/>
      <c r="I42" s="588"/>
      <c r="J42" s="588"/>
      <c r="K42" s="588"/>
      <c r="L42" s="588"/>
      <c r="M42" s="588"/>
      <c r="N42" s="589"/>
    </row>
    <row r="43" spans="1:14" x14ac:dyDescent="0.15">
      <c r="A43" s="219" t="str">
        <f>IF('Closed Transactions'!F42="","",'Closed Transactions'!F42)</f>
        <v/>
      </c>
      <c r="B43" s="220" t="str">
        <f>IF('Closed Transactions'!A42="","",'Closed Transactions'!A42)</f>
        <v/>
      </c>
      <c r="C43" s="590"/>
      <c r="D43" s="591"/>
      <c r="E43" s="591"/>
      <c r="F43" s="591"/>
      <c r="G43" s="591"/>
      <c r="H43" s="591"/>
      <c r="I43" s="591"/>
      <c r="J43" s="591"/>
      <c r="K43" s="591"/>
      <c r="L43" s="591"/>
      <c r="M43" s="591"/>
      <c r="N43" s="592"/>
    </row>
    <row r="44" spans="1:14" x14ac:dyDescent="0.15">
      <c r="A44" s="217" t="str">
        <f>IF('Closed Transactions'!F43="","",'Closed Transactions'!F43)</f>
        <v/>
      </c>
      <c r="B44" s="218" t="str">
        <f>IF('Closed Transactions'!A43="","",'Closed Transactions'!A43)</f>
        <v/>
      </c>
      <c r="C44" s="587"/>
      <c r="D44" s="588"/>
      <c r="E44" s="588"/>
      <c r="F44" s="588"/>
      <c r="G44" s="588"/>
      <c r="H44" s="588"/>
      <c r="I44" s="588"/>
      <c r="J44" s="588"/>
      <c r="K44" s="588"/>
      <c r="L44" s="588"/>
      <c r="M44" s="588"/>
      <c r="N44" s="589"/>
    </row>
    <row r="45" spans="1:14" x14ac:dyDescent="0.15">
      <c r="A45" s="219" t="str">
        <f>IF('Closed Transactions'!F44="","",'Closed Transactions'!F44)</f>
        <v/>
      </c>
      <c r="B45" s="220" t="str">
        <f>IF('Closed Transactions'!A44="","",'Closed Transactions'!A44)</f>
        <v/>
      </c>
      <c r="C45" s="590"/>
      <c r="D45" s="591"/>
      <c r="E45" s="591"/>
      <c r="F45" s="591"/>
      <c r="G45" s="591"/>
      <c r="H45" s="591"/>
      <c r="I45" s="591"/>
      <c r="J45" s="591"/>
      <c r="K45" s="591"/>
      <c r="L45" s="591"/>
      <c r="M45" s="591"/>
      <c r="N45" s="592"/>
    </row>
    <row r="46" spans="1:14" x14ac:dyDescent="0.15">
      <c r="A46" s="217" t="str">
        <f>IF('Closed Transactions'!F45="","",'Closed Transactions'!F45)</f>
        <v/>
      </c>
      <c r="B46" s="218" t="str">
        <f>IF('Closed Transactions'!A45="","",'Closed Transactions'!A45)</f>
        <v/>
      </c>
      <c r="C46" s="587"/>
      <c r="D46" s="588"/>
      <c r="E46" s="588"/>
      <c r="F46" s="588"/>
      <c r="G46" s="588"/>
      <c r="H46" s="588"/>
      <c r="I46" s="588"/>
      <c r="J46" s="588"/>
      <c r="K46" s="588"/>
      <c r="L46" s="588"/>
      <c r="M46" s="588"/>
      <c r="N46" s="589"/>
    </row>
    <row r="47" spans="1:14" x14ac:dyDescent="0.15">
      <c r="A47" s="219" t="str">
        <f>IF('Closed Transactions'!F46="","",'Closed Transactions'!F46)</f>
        <v/>
      </c>
      <c r="B47" s="220" t="str">
        <f>IF('Closed Transactions'!A46="","",'Closed Transactions'!A46)</f>
        <v/>
      </c>
      <c r="C47" s="590"/>
      <c r="D47" s="591"/>
      <c r="E47" s="591"/>
      <c r="F47" s="591"/>
      <c r="G47" s="591"/>
      <c r="H47" s="591"/>
      <c r="I47" s="591"/>
      <c r="J47" s="591"/>
      <c r="K47" s="591"/>
      <c r="L47" s="591"/>
      <c r="M47" s="591"/>
      <c r="N47" s="592"/>
    </row>
    <row r="48" spans="1:14" x14ac:dyDescent="0.15">
      <c r="A48" s="217" t="str">
        <f>IF('Closed Transactions'!F47="","",'Closed Transactions'!F47)</f>
        <v/>
      </c>
      <c r="B48" s="218" t="str">
        <f>IF('Closed Transactions'!A47="","",'Closed Transactions'!A47)</f>
        <v/>
      </c>
      <c r="C48" s="587"/>
      <c r="D48" s="588"/>
      <c r="E48" s="588"/>
      <c r="F48" s="588"/>
      <c r="G48" s="588"/>
      <c r="H48" s="588"/>
      <c r="I48" s="588"/>
      <c r="J48" s="588"/>
      <c r="K48" s="588"/>
      <c r="L48" s="588"/>
      <c r="M48" s="588"/>
      <c r="N48" s="589"/>
    </row>
    <row r="49" spans="1:14" x14ac:dyDescent="0.15">
      <c r="A49" s="219" t="str">
        <f>IF('Closed Transactions'!F48="","",'Closed Transactions'!F48)</f>
        <v/>
      </c>
      <c r="B49" s="220" t="str">
        <f>IF('Closed Transactions'!A48="","",'Closed Transactions'!A48)</f>
        <v/>
      </c>
      <c r="C49" s="590"/>
      <c r="D49" s="591"/>
      <c r="E49" s="591"/>
      <c r="F49" s="591"/>
      <c r="G49" s="591"/>
      <c r="H49" s="591"/>
      <c r="I49" s="591"/>
      <c r="J49" s="591"/>
      <c r="K49" s="591"/>
      <c r="L49" s="591"/>
      <c r="M49" s="591"/>
      <c r="N49" s="592"/>
    </row>
    <row r="50" spans="1:14" x14ac:dyDescent="0.15">
      <c r="A50" s="217" t="str">
        <f>IF('Closed Transactions'!F49="","",'Closed Transactions'!F49)</f>
        <v/>
      </c>
      <c r="B50" s="218" t="str">
        <f>IF('Closed Transactions'!A49="","",'Closed Transactions'!A49)</f>
        <v/>
      </c>
      <c r="C50" s="587"/>
      <c r="D50" s="588"/>
      <c r="E50" s="588"/>
      <c r="F50" s="588"/>
      <c r="G50" s="588"/>
      <c r="H50" s="588"/>
      <c r="I50" s="588"/>
      <c r="J50" s="588"/>
      <c r="K50" s="588"/>
      <c r="L50" s="588"/>
      <c r="M50" s="588"/>
      <c r="N50" s="589"/>
    </row>
    <row r="51" spans="1:14" x14ac:dyDescent="0.15">
      <c r="A51" s="219" t="str">
        <f>IF('Closed Transactions'!F50="","",'Closed Transactions'!F50)</f>
        <v/>
      </c>
      <c r="B51" s="220" t="str">
        <f>IF('Closed Transactions'!A50="","",'Closed Transactions'!A50)</f>
        <v/>
      </c>
      <c r="C51" s="590"/>
      <c r="D51" s="591"/>
      <c r="E51" s="591"/>
      <c r="F51" s="591"/>
      <c r="G51" s="591"/>
      <c r="H51" s="591"/>
      <c r="I51" s="591"/>
      <c r="J51" s="591"/>
      <c r="K51" s="591"/>
      <c r="L51" s="591"/>
      <c r="M51" s="591"/>
      <c r="N51" s="592"/>
    </row>
    <row r="52" spans="1:14" x14ac:dyDescent="0.15">
      <c r="A52" s="217" t="str">
        <f>IF('Closed Transactions'!F51="","",'Closed Transactions'!F51)</f>
        <v/>
      </c>
      <c r="B52" s="218" t="str">
        <f>IF('Closed Transactions'!A51="","",'Closed Transactions'!A51)</f>
        <v/>
      </c>
      <c r="C52" s="587"/>
      <c r="D52" s="588"/>
      <c r="E52" s="588"/>
      <c r="F52" s="588"/>
      <c r="G52" s="588"/>
      <c r="H52" s="588"/>
      <c r="I52" s="588"/>
      <c r="J52" s="588"/>
      <c r="K52" s="588"/>
      <c r="L52" s="588"/>
      <c r="M52" s="588"/>
      <c r="N52" s="589"/>
    </row>
    <row r="53" spans="1:14" x14ac:dyDescent="0.15">
      <c r="A53" s="219" t="str">
        <f>IF('Closed Transactions'!F52="","",'Closed Transactions'!F52)</f>
        <v/>
      </c>
      <c r="B53" s="220" t="str">
        <f>IF('Closed Transactions'!A52="","",'Closed Transactions'!A52)</f>
        <v/>
      </c>
      <c r="C53" s="590"/>
      <c r="D53" s="591"/>
      <c r="E53" s="591"/>
      <c r="F53" s="591"/>
      <c r="G53" s="591"/>
      <c r="H53" s="591"/>
      <c r="I53" s="591"/>
      <c r="J53" s="591"/>
      <c r="K53" s="591"/>
      <c r="L53" s="591"/>
      <c r="M53" s="591"/>
      <c r="N53" s="592"/>
    </row>
    <row r="54" spans="1:14" x14ac:dyDescent="0.15">
      <c r="A54" s="217" t="str">
        <f>IF('Closed Transactions'!F58="","",'Closed Transactions'!F58)</f>
        <v/>
      </c>
      <c r="B54" s="218" t="str">
        <f>IF('Closed Transactions'!A53="","",'Closed Transactions'!A53)</f>
        <v/>
      </c>
      <c r="C54" s="587"/>
      <c r="D54" s="588"/>
      <c r="E54" s="588"/>
      <c r="F54" s="588"/>
      <c r="G54" s="588"/>
      <c r="H54" s="588"/>
      <c r="I54" s="588"/>
      <c r="J54" s="588"/>
      <c r="K54" s="588"/>
      <c r="L54" s="588"/>
      <c r="M54" s="588"/>
      <c r="N54" s="589"/>
    </row>
    <row r="55" spans="1:14" x14ac:dyDescent="0.15">
      <c r="A55" s="219" t="str">
        <f>IF('Closed Transactions'!F61="","",'Closed Transactions'!F61)</f>
        <v/>
      </c>
      <c r="B55" s="220" t="str">
        <f>IF('Closed Transactions'!A54="","",'Closed Transactions'!A54)</f>
        <v/>
      </c>
      <c r="C55" s="590"/>
      <c r="D55" s="591"/>
      <c r="E55" s="591"/>
      <c r="F55" s="591"/>
      <c r="G55" s="591"/>
      <c r="H55" s="591"/>
      <c r="I55" s="591"/>
      <c r="J55" s="591"/>
      <c r="K55" s="591"/>
      <c r="L55" s="591"/>
      <c r="M55" s="591"/>
      <c r="N55" s="592"/>
    </row>
    <row r="56" spans="1:14" x14ac:dyDescent="0.15">
      <c r="A56" s="217" t="str">
        <f>IF('Closed Transactions'!F62="","",'Closed Transactions'!F62)</f>
        <v/>
      </c>
      <c r="B56" s="218" t="str">
        <f>IF('Closed Transactions'!A55="","",'Closed Transactions'!A55)</f>
        <v/>
      </c>
      <c r="C56" s="587"/>
      <c r="D56" s="588"/>
      <c r="E56" s="588"/>
      <c r="F56" s="588"/>
      <c r="G56" s="588"/>
      <c r="H56" s="588"/>
      <c r="I56" s="588"/>
      <c r="J56" s="588"/>
      <c r="K56" s="588"/>
      <c r="L56" s="588"/>
      <c r="M56" s="588"/>
      <c r="N56" s="589"/>
    </row>
    <row r="57" spans="1:14" x14ac:dyDescent="0.15">
      <c r="A57" s="219" t="str">
        <f>IF('Closed Transactions'!F63="","",'Closed Transactions'!F63)</f>
        <v/>
      </c>
      <c r="B57" s="220" t="str">
        <f>IF('Closed Transactions'!A56="","",'Closed Transactions'!A56)</f>
        <v/>
      </c>
      <c r="C57" s="590"/>
      <c r="D57" s="591"/>
      <c r="E57" s="591"/>
      <c r="F57" s="591"/>
      <c r="G57" s="591"/>
      <c r="H57" s="591"/>
      <c r="I57" s="591"/>
      <c r="J57" s="591"/>
      <c r="K57" s="591"/>
      <c r="L57" s="591"/>
      <c r="M57" s="591"/>
      <c r="N57" s="592"/>
    </row>
    <row r="58" spans="1:14" x14ac:dyDescent="0.15">
      <c r="A58" s="217" t="str">
        <f>IF('Closed Transactions'!F64="","",'Closed Transactions'!F64)</f>
        <v/>
      </c>
      <c r="B58" s="218" t="str">
        <f>IF('Closed Transactions'!A57="","",'Closed Transactions'!A57)</f>
        <v/>
      </c>
      <c r="C58" s="587"/>
      <c r="D58" s="588"/>
      <c r="E58" s="588"/>
      <c r="F58" s="588"/>
      <c r="G58" s="588"/>
      <c r="H58" s="588"/>
      <c r="I58" s="588"/>
      <c r="J58" s="588"/>
      <c r="K58" s="588"/>
      <c r="L58" s="588"/>
      <c r="M58" s="588"/>
      <c r="N58" s="589"/>
    </row>
    <row r="59" spans="1:14" x14ac:dyDescent="0.2">
      <c r="A59" s="93"/>
      <c r="B59" s="93"/>
      <c r="C59" s="221"/>
      <c r="D59" s="221"/>
      <c r="E59" s="221"/>
      <c r="F59" s="221"/>
      <c r="G59" s="221"/>
      <c r="H59" s="221"/>
      <c r="I59" s="221"/>
      <c r="J59" s="221"/>
      <c r="K59" s="221"/>
      <c r="L59" s="221"/>
      <c r="M59" s="221"/>
      <c r="N59" s="221"/>
    </row>
    <row r="60" spans="1:14" x14ac:dyDescent="0.2">
      <c r="A60" s="93"/>
      <c r="B60" s="93"/>
      <c r="C60" s="221"/>
      <c r="D60" s="221"/>
      <c r="E60" s="221"/>
      <c r="F60" s="221"/>
      <c r="G60" s="221"/>
      <c r="H60" s="221"/>
      <c r="I60" s="221"/>
      <c r="J60" s="221"/>
      <c r="K60" s="221"/>
      <c r="L60" s="221"/>
      <c r="M60" s="221"/>
      <c r="N60" s="221"/>
    </row>
    <row r="61" spans="1:14" x14ac:dyDescent="0.2">
      <c r="A61" s="93"/>
      <c r="B61" s="93"/>
      <c r="C61" s="221"/>
      <c r="D61" s="221"/>
      <c r="E61" s="221"/>
      <c r="F61" s="221"/>
      <c r="G61" s="221"/>
      <c r="H61" s="221"/>
      <c r="I61" s="221"/>
      <c r="J61" s="221"/>
      <c r="K61" s="221"/>
      <c r="L61" s="221"/>
      <c r="M61" s="221"/>
      <c r="N61" s="221"/>
    </row>
    <row r="62" spans="1:14" x14ac:dyDescent="0.2">
      <c r="A62" s="93"/>
      <c r="B62" s="93"/>
      <c r="C62" s="221"/>
      <c r="D62" s="221"/>
      <c r="E62" s="221"/>
      <c r="F62" s="221"/>
      <c r="G62" s="221"/>
      <c r="H62" s="221"/>
      <c r="I62" s="221"/>
      <c r="J62" s="221"/>
      <c r="K62" s="221"/>
      <c r="L62" s="221"/>
      <c r="M62" s="221"/>
      <c r="N62" s="221"/>
    </row>
    <row r="63" spans="1:14" x14ac:dyDescent="0.2">
      <c r="A63" s="93"/>
      <c r="B63" s="93"/>
      <c r="C63" s="221"/>
      <c r="D63" s="221"/>
      <c r="E63" s="221"/>
      <c r="F63" s="221"/>
      <c r="G63" s="221"/>
      <c r="H63" s="221"/>
      <c r="I63" s="221"/>
      <c r="J63" s="221"/>
      <c r="K63" s="221"/>
      <c r="L63" s="221"/>
      <c r="M63" s="221"/>
      <c r="N63" s="221"/>
    </row>
    <row r="64" spans="1:14" x14ac:dyDescent="0.2">
      <c r="A64" s="93"/>
      <c r="B64" s="93"/>
      <c r="C64" s="221"/>
      <c r="D64" s="221"/>
      <c r="E64" s="221"/>
      <c r="F64" s="221"/>
      <c r="G64" s="221"/>
      <c r="H64" s="221"/>
      <c r="I64" s="221"/>
      <c r="J64" s="221"/>
      <c r="K64" s="221"/>
      <c r="L64" s="221"/>
      <c r="M64" s="221"/>
      <c r="N64" s="221"/>
    </row>
    <row r="65" spans="1:14" x14ac:dyDescent="0.15">
      <c r="A65" s="221"/>
      <c r="B65" s="221"/>
      <c r="C65" s="221"/>
      <c r="D65" s="221"/>
      <c r="E65" s="221"/>
      <c r="F65" s="221"/>
      <c r="G65" s="221"/>
      <c r="H65" s="221"/>
      <c r="I65" s="221"/>
      <c r="J65" s="221"/>
      <c r="K65" s="221"/>
      <c r="L65" s="221"/>
      <c r="M65" s="221"/>
      <c r="N65" s="221"/>
    </row>
    <row r="66" spans="1:14" x14ac:dyDescent="0.15">
      <c r="A66" s="221"/>
      <c r="B66" s="221"/>
      <c r="C66" s="221"/>
      <c r="D66" s="221"/>
      <c r="E66" s="221"/>
      <c r="F66" s="221"/>
      <c r="G66" s="221"/>
      <c r="H66" s="221"/>
      <c r="I66" s="221"/>
      <c r="J66" s="221"/>
      <c r="K66" s="221"/>
      <c r="L66" s="221"/>
      <c r="M66" s="221"/>
      <c r="N66" s="221"/>
    </row>
    <row r="67" spans="1:14" x14ac:dyDescent="0.15">
      <c r="A67" s="221"/>
      <c r="B67" s="221"/>
      <c r="C67" s="221"/>
      <c r="D67" s="221"/>
      <c r="E67" s="221"/>
      <c r="F67" s="221"/>
      <c r="G67" s="221"/>
      <c r="H67" s="221"/>
      <c r="I67" s="221"/>
      <c r="J67" s="221"/>
      <c r="K67" s="221"/>
      <c r="L67" s="221"/>
      <c r="M67" s="221"/>
      <c r="N67" s="221"/>
    </row>
    <row r="68" spans="1:14" x14ac:dyDescent="0.15">
      <c r="A68" s="221"/>
      <c r="B68" s="221"/>
      <c r="C68" s="221"/>
      <c r="D68" s="221"/>
      <c r="E68" s="221"/>
      <c r="F68" s="221"/>
      <c r="G68" s="221"/>
      <c r="H68" s="221"/>
      <c r="I68" s="221"/>
      <c r="J68" s="221"/>
      <c r="K68" s="221"/>
      <c r="L68" s="221"/>
      <c r="M68" s="221"/>
      <c r="N68" s="221"/>
    </row>
    <row r="69" spans="1:14" x14ac:dyDescent="0.15">
      <c r="A69" s="221"/>
      <c r="B69" s="221"/>
      <c r="C69" s="221"/>
      <c r="D69" s="221"/>
      <c r="E69" s="221"/>
      <c r="F69" s="221"/>
      <c r="G69" s="221"/>
      <c r="H69" s="221"/>
      <c r="I69" s="221"/>
      <c r="J69" s="221"/>
      <c r="K69" s="221"/>
      <c r="L69" s="221"/>
      <c r="M69" s="221"/>
      <c r="N69" s="221"/>
    </row>
    <row r="70" spans="1:14" x14ac:dyDescent="0.15">
      <c r="A70" s="221"/>
      <c r="B70" s="221"/>
      <c r="C70" s="221"/>
      <c r="D70" s="221"/>
      <c r="E70" s="221"/>
      <c r="F70" s="221"/>
      <c r="G70" s="221"/>
      <c r="H70" s="221"/>
      <c r="I70" s="221"/>
      <c r="J70" s="221"/>
      <c r="K70" s="221"/>
      <c r="L70" s="221"/>
      <c r="M70" s="221"/>
      <c r="N70" s="221"/>
    </row>
    <row r="71" spans="1:14" x14ac:dyDescent="0.15">
      <c r="A71" s="221"/>
      <c r="B71" s="221"/>
      <c r="C71" s="221"/>
      <c r="D71" s="221"/>
      <c r="E71" s="221"/>
      <c r="F71" s="221"/>
      <c r="G71" s="221"/>
      <c r="H71" s="221"/>
      <c r="I71" s="221"/>
      <c r="J71" s="221"/>
      <c r="K71" s="221"/>
      <c r="L71" s="221"/>
      <c r="M71" s="221"/>
      <c r="N71" s="221"/>
    </row>
    <row r="72" spans="1:14" x14ac:dyDescent="0.15">
      <c r="A72" s="221"/>
      <c r="B72" s="221"/>
      <c r="C72" s="221"/>
      <c r="D72" s="221"/>
      <c r="E72" s="221"/>
      <c r="F72" s="221"/>
      <c r="G72" s="221"/>
      <c r="H72" s="221"/>
      <c r="I72" s="221"/>
      <c r="J72" s="221"/>
      <c r="K72" s="221"/>
      <c r="L72" s="221"/>
      <c r="M72" s="221"/>
      <c r="N72" s="221"/>
    </row>
    <row r="73" spans="1:14" x14ac:dyDescent="0.15">
      <c r="A73" s="221"/>
      <c r="B73" s="221"/>
      <c r="C73" s="221"/>
      <c r="D73" s="221"/>
      <c r="E73" s="221"/>
      <c r="F73" s="221"/>
      <c r="G73" s="221"/>
      <c r="H73" s="221"/>
      <c r="I73" s="221"/>
      <c r="J73" s="221"/>
      <c r="K73" s="221"/>
      <c r="L73" s="221"/>
      <c r="M73" s="221"/>
      <c r="N73" s="221"/>
    </row>
    <row r="74" spans="1:14" x14ac:dyDescent="0.15">
      <c r="A74" s="221"/>
      <c r="B74" s="221"/>
      <c r="C74" s="221"/>
      <c r="D74" s="221"/>
      <c r="E74" s="221"/>
      <c r="F74" s="221"/>
      <c r="G74" s="221"/>
      <c r="H74" s="221"/>
      <c r="I74" s="221"/>
      <c r="J74" s="221"/>
      <c r="K74" s="221"/>
      <c r="L74" s="221"/>
      <c r="M74" s="221"/>
      <c r="N74" s="221"/>
    </row>
    <row r="75" spans="1:14" x14ac:dyDescent="0.15">
      <c r="A75" s="221"/>
      <c r="B75" s="221"/>
      <c r="C75" s="221"/>
      <c r="D75" s="221"/>
      <c r="E75" s="221"/>
      <c r="F75" s="221"/>
      <c r="G75" s="221"/>
      <c r="H75" s="221"/>
      <c r="I75" s="221"/>
      <c r="J75" s="221"/>
      <c r="K75" s="221"/>
      <c r="L75" s="221"/>
      <c r="M75" s="221"/>
      <c r="N75" s="221"/>
    </row>
    <row r="76" spans="1:14" x14ac:dyDescent="0.15">
      <c r="A76" s="221"/>
      <c r="B76" s="221"/>
      <c r="C76" s="221"/>
      <c r="D76" s="221"/>
      <c r="E76" s="221"/>
      <c r="F76" s="221"/>
      <c r="G76" s="221"/>
      <c r="H76" s="221"/>
      <c r="I76" s="221"/>
      <c r="J76" s="221"/>
      <c r="K76" s="221"/>
      <c r="L76" s="221"/>
      <c r="M76" s="221"/>
      <c r="N76" s="221"/>
    </row>
    <row r="77" spans="1:14" x14ac:dyDescent="0.15">
      <c r="A77" s="221"/>
      <c r="B77" s="221"/>
      <c r="C77" s="221"/>
      <c r="D77" s="221"/>
      <c r="E77" s="221"/>
      <c r="F77" s="221"/>
      <c r="G77" s="221"/>
      <c r="H77" s="221"/>
      <c r="I77" s="221"/>
      <c r="J77" s="221"/>
      <c r="K77" s="221"/>
      <c r="L77" s="221"/>
      <c r="M77" s="221"/>
      <c r="N77" s="221"/>
    </row>
    <row r="78" spans="1:14" x14ac:dyDescent="0.15">
      <c r="A78" s="221"/>
      <c r="B78" s="221"/>
      <c r="C78" s="221"/>
      <c r="D78" s="221"/>
      <c r="E78" s="221"/>
      <c r="F78" s="221"/>
      <c r="G78" s="221"/>
      <c r="H78" s="221"/>
      <c r="I78" s="221"/>
      <c r="J78" s="221"/>
      <c r="K78" s="221"/>
      <c r="L78" s="221"/>
      <c r="M78" s="221"/>
      <c r="N78" s="221"/>
    </row>
    <row r="79" spans="1:14" x14ac:dyDescent="0.15">
      <c r="A79" s="221"/>
      <c r="B79" s="221"/>
      <c r="C79" s="221"/>
      <c r="D79" s="221"/>
      <c r="E79" s="221"/>
      <c r="F79" s="221"/>
      <c r="G79" s="221"/>
      <c r="H79" s="221"/>
      <c r="I79" s="221"/>
      <c r="J79" s="221"/>
      <c r="K79" s="221"/>
      <c r="L79" s="221"/>
      <c r="M79" s="221"/>
      <c r="N79" s="221"/>
    </row>
    <row r="80" spans="1:14" x14ac:dyDescent="0.15">
      <c r="A80" s="221"/>
      <c r="B80" s="221"/>
      <c r="C80" s="221"/>
      <c r="D80" s="221"/>
      <c r="E80" s="221"/>
      <c r="F80" s="221"/>
      <c r="G80" s="221"/>
      <c r="H80" s="221"/>
      <c r="I80" s="221"/>
      <c r="J80" s="221"/>
      <c r="K80" s="221"/>
      <c r="L80" s="221"/>
      <c r="M80" s="221"/>
      <c r="N80" s="221"/>
    </row>
    <row r="81" spans="1:14" x14ac:dyDescent="0.15">
      <c r="A81" s="221"/>
      <c r="B81" s="221"/>
      <c r="C81" s="221"/>
      <c r="D81" s="221"/>
      <c r="E81" s="221"/>
      <c r="F81" s="221"/>
      <c r="G81" s="221"/>
      <c r="H81" s="221"/>
      <c r="I81" s="221"/>
      <c r="J81" s="221"/>
      <c r="K81" s="221"/>
      <c r="L81" s="221"/>
      <c r="M81" s="221"/>
      <c r="N81" s="221"/>
    </row>
    <row r="82" spans="1:14" x14ac:dyDescent="0.15">
      <c r="A82" s="221"/>
      <c r="B82" s="221"/>
      <c r="C82" s="221"/>
      <c r="D82" s="221"/>
      <c r="E82" s="221"/>
      <c r="F82" s="221"/>
      <c r="G82" s="221"/>
      <c r="H82" s="221"/>
      <c r="I82" s="221"/>
      <c r="J82" s="221"/>
      <c r="K82" s="221"/>
      <c r="L82" s="221"/>
      <c r="M82" s="221"/>
      <c r="N82" s="221"/>
    </row>
    <row r="83" spans="1:14" x14ac:dyDescent="0.15">
      <c r="A83" s="221"/>
      <c r="B83" s="221"/>
      <c r="C83" s="221"/>
      <c r="D83" s="221"/>
      <c r="E83" s="221"/>
      <c r="F83" s="221"/>
      <c r="G83" s="221"/>
      <c r="H83" s="221"/>
      <c r="I83" s="221"/>
      <c r="J83" s="221"/>
      <c r="K83" s="221"/>
      <c r="L83" s="221"/>
      <c r="M83" s="221"/>
      <c r="N83" s="221"/>
    </row>
    <row r="84" spans="1:14" x14ac:dyDescent="0.15">
      <c r="A84" s="221"/>
      <c r="B84" s="221"/>
      <c r="C84" s="221"/>
      <c r="D84" s="221"/>
      <c r="E84" s="221"/>
      <c r="F84" s="221"/>
      <c r="G84" s="221"/>
      <c r="H84" s="221"/>
      <c r="I84" s="221"/>
      <c r="J84" s="221"/>
      <c r="K84" s="221"/>
      <c r="L84" s="221"/>
      <c r="M84" s="221"/>
      <c r="N84" s="221"/>
    </row>
    <row r="85" spans="1:14" x14ac:dyDescent="0.15">
      <c r="A85" s="221"/>
      <c r="B85" s="221"/>
      <c r="C85" s="221"/>
      <c r="D85" s="221"/>
      <c r="E85" s="221"/>
      <c r="F85" s="221"/>
      <c r="G85" s="221"/>
      <c r="H85" s="221"/>
      <c r="I85" s="221"/>
      <c r="J85" s="221"/>
      <c r="K85" s="221"/>
      <c r="L85" s="221"/>
      <c r="M85" s="221"/>
      <c r="N85" s="221"/>
    </row>
    <row r="86" spans="1:14" x14ac:dyDescent="0.15">
      <c r="A86" s="221"/>
      <c r="B86" s="221"/>
      <c r="C86" s="221"/>
      <c r="D86" s="221"/>
      <c r="E86" s="221"/>
      <c r="F86" s="221"/>
      <c r="G86" s="221"/>
      <c r="H86" s="221"/>
      <c r="I86" s="221"/>
      <c r="J86" s="221"/>
      <c r="K86" s="221"/>
      <c r="L86" s="221"/>
      <c r="M86" s="221"/>
      <c r="N86" s="221"/>
    </row>
    <row r="87" spans="1:14" x14ac:dyDescent="0.15">
      <c r="A87" s="221"/>
      <c r="B87" s="221"/>
      <c r="C87" s="221"/>
      <c r="D87" s="221"/>
      <c r="E87" s="221"/>
      <c r="F87" s="221"/>
      <c r="G87" s="221"/>
      <c r="H87" s="221"/>
      <c r="I87" s="221"/>
      <c r="J87" s="221"/>
      <c r="K87" s="221"/>
      <c r="L87" s="221"/>
      <c r="M87" s="221"/>
      <c r="N87" s="221"/>
    </row>
    <row r="88" spans="1:14" x14ac:dyDescent="0.15">
      <c r="A88" s="221"/>
      <c r="B88" s="221"/>
      <c r="C88" s="221"/>
      <c r="D88" s="221"/>
      <c r="E88" s="221"/>
      <c r="F88" s="221"/>
      <c r="G88" s="221"/>
      <c r="H88" s="221"/>
      <c r="I88" s="221"/>
      <c r="J88" s="221"/>
      <c r="K88" s="221"/>
      <c r="L88" s="221"/>
      <c r="M88" s="221"/>
      <c r="N88" s="221"/>
    </row>
    <row r="89" spans="1:14" x14ac:dyDescent="0.15">
      <c r="A89" s="221"/>
      <c r="B89" s="221"/>
      <c r="C89" s="221"/>
      <c r="D89" s="221"/>
      <c r="E89" s="221"/>
      <c r="F89" s="221"/>
      <c r="G89" s="221"/>
      <c r="H89" s="221"/>
      <c r="I89" s="221"/>
      <c r="J89" s="221"/>
      <c r="K89" s="221"/>
      <c r="L89" s="221"/>
      <c r="M89" s="221"/>
      <c r="N89" s="221"/>
    </row>
    <row r="90" spans="1:14" x14ac:dyDescent="0.15">
      <c r="A90" s="221"/>
      <c r="B90" s="221"/>
      <c r="C90" s="221"/>
      <c r="D90" s="221"/>
      <c r="E90" s="221"/>
      <c r="F90" s="221"/>
      <c r="G90" s="221"/>
      <c r="H90" s="221"/>
      <c r="I90" s="221"/>
      <c r="J90" s="221"/>
      <c r="K90" s="221"/>
      <c r="L90" s="221"/>
      <c r="M90" s="221"/>
      <c r="N90" s="221"/>
    </row>
    <row r="91" spans="1:14" x14ac:dyDescent="0.15">
      <c r="A91" s="221"/>
      <c r="B91" s="221"/>
      <c r="C91" s="221"/>
      <c r="D91" s="221"/>
      <c r="E91" s="221"/>
      <c r="F91" s="221"/>
      <c r="G91" s="221"/>
      <c r="H91" s="221"/>
      <c r="I91" s="221"/>
      <c r="J91" s="221"/>
      <c r="K91" s="221"/>
      <c r="L91" s="221"/>
      <c r="M91" s="221"/>
      <c r="N91" s="221"/>
    </row>
    <row r="92" spans="1:14" x14ac:dyDescent="0.15">
      <c r="A92" s="221"/>
      <c r="B92" s="221"/>
      <c r="C92" s="221"/>
      <c r="D92" s="221"/>
      <c r="E92" s="221"/>
      <c r="F92" s="221"/>
      <c r="G92" s="221"/>
      <c r="H92" s="221"/>
      <c r="I92" s="221"/>
      <c r="J92" s="221"/>
      <c r="K92" s="221"/>
      <c r="L92" s="221"/>
      <c r="M92" s="221"/>
      <c r="N92" s="221"/>
    </row>
    <row r="93" spans="1:14" x14ac:dyDescent="0.15">
      <c r="A93" s="221"/>
      <c r="B93" s="221"/>
      <c r="C93" s="221"/>
      <c r="D93" s="221"/>
      <c r="E93" s="221"/>
      <c r="F93" s="221"/>
      <c r="G93" s="221"/>
      <c r="H93" s="221"/>
      <c r="I93" s="221"/>
      <c r="J93" s="221"/>
      <c r="K93" s="221"/>
      <c r="L93" s="221"/>
      <c r="M93" s="221"/>
      <c r="N93" s="221"/>
    </row>
    <row r="94" spans="1:14" x14ac:dyDescent="0.15">
      <c r="A94" s="221"/>
      <c r="B94" s="221"/>
      <c r="C94" s="221"/>
      <c r="D94" s="221"/>
      <c r="E94" s="221"/>
      <c r="F94" s="221"/>
      <c r="G94" s="221"/>
      <c r="H94" s="221"/>
      <c r="I94" s="221"/>
      <c r="J94" s="221"/>
      <c r="K94" s="221"/>
      <c r="L94" s="221"/>
      <c r="M94" s="221"/>
      <c r="N94" s="221"/>
    </row>
    <row r="95" spans="1:14" x14ac:dyDescent="0.15">
      <c r="A95" s="221"/>
      <c r="B95" s="221"/>
      <c r="C95" s="221"/>
      <c r="D95" s="221"/>
      <c r="E95" s="221"/>
      <c r="F95" s="221"/>
      <c r="G95" s="221"/>
      <c r="H95" s="221"/>
      <c r="I95" s="221"/>
      <c r="J95" s="221"/>
      <c r="K95" s="221"/>
      <c r="L95" s="221"/>
      <c r="M95" s="221"/>
      <c r="N95" s="221"/>
    </row>
    <row r="96" spans="1:14" x14ac:dyDescent="0.15">
      <c r="A96" s="221"/>
      <c r="B96" s="221"/>
      <c r="C96" s="221"/>
      <c r="D96" s="221"/>
      <c r="E96" s="221"/>
      <c r="F96" s="221"/>
      <c r="G96" s="221"/>
      <c r="H96" s="221"/>
      <c r="I96" s="221"/>
      <c r="J96" s="221"/>
      <c r="K96" s="221"/>
      <c r="L96" s="221"/>
      <c r="M96" s="221"/>
      <c r="N96" s="221"/>
    </row>
    <row r="97" spans="1:14" x14ac:dyDescent="0.15">
      <c r="A97" s="221"/>
      <c r="B97" s="221"/>
      <c r="C97" s="221"/>
      <c r="D97" s="221"/>
      <c r="E97" s="221"/>
      <c r="F97" s="221"/>
      <c r="G97" s="221"/>
      <c r="H97" s="221"/>
      <c r="I97" s="221"/>
      <c r="J97" s="221"/>
      <c r="K97" s="221"/>
      <c r="L97" s="221"/>
      <c r="M97" s="221"/>
      <c r="N97" s="221"/>
    </row>
    <row r="98" spans="1:14" x14ac:dyDescent="0.15">
      <c r="A98" s="221"/>
      <c r="B98" s="221"/>
      <c r="C98" s="221"/>
      <c r="D98" s="221"/>
      <c r="E98" s="221"/>
      <c r="F98" s="221"/>
      <c r="G98" s="221"/>
      <c r="H98" s="221"/>
      <c r="I98" s="221"/>
      <c r="J98" s="221"/>
      <c r="K98" s="221"/>
      <c r="L98" s="221"/>
      <c r="M98" s="221"/>
      <c r="N98" s="221"/>
    </row>
    <row r="99" spans="1:14" x14ac:dyDescent="0.15">
      <c r="A99" s="221"/>
      <c r="B99" s="221"/>
      <c r="C99" s="221"/>
      <c r="D99" s="221"/>
      <c r="E99" s="221"/>
      <c r="F99" s="221"/>
      <c r="G99" s="221"/>
      <c r="H99" s="221"/>
      <c r="I99" s="221"/>
      <c r="J99" s="221"/>
      <c r="K99" s="221"/>
      <c r="L99" s="221"/>
      <c r="M99" s="221"/>
      <c r="N99" s="221"/>
    </row>
    <row r="100" spans="1:14" x14ac:dyDescent="0.15">
      <c r="A100" s="221"/>
      <c r="B100" s="221"/>
      <c r="C100" s="221"/>
      <c r="D100" s="221"/>
      <c r="E100" s="221"/>
      <c r="F100" s="221"/>
      <c r="G100" s="221"/>
      <c r="H100" s="221"/>
      <c r="I100" s="221"/>
      <c r="J100" s="221"/>
      <c r="K100" s="221"/>
      <c r="L100" s="221"/>
      <c r="M100" s="221"/>
      <c r="N100" s="221"/>
    </row>
  </sheetData>
  <sheetProtection sheet="1" selectLockedCells="1"/>
  <mergeCells count="2">
    <mergeCell ref="A1:N1"/>
    <mergeCell ref="A2:N2"/>
  </mergeCells>
  <phoneticPr fontId="2" type="noConversion"/>
  <printOptions horizontalCentered="1" verticalCentered="1"/>
  <pageMargins left="0.75" right="0.75" top="1" bottom="1" header="0.5" footer="0.5"/>
  <pageSetup scale="89"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F80FD-732B-4A36-85ED-E1B5892A962E}">
  <dimension ref="A1:X71"/>
  <sheetViews>
    <sheetView workbookViewId="0">
      <selection activeCell="D3" sqref="D3"/>
    </sheetView>
  </sheetViews>
  <sheetFormatPr baseColWidth="10" defaultColWidth="8.83203125" defaultRowHeight="13" x14ac:dyDescent="0.15"/>
  <cols>
    <col min="1" max="1" width="10.1640625" bestFit="1" customWidth="1"/>
    <col min="2" max="2" width="39.83203125" customWidth="1"/>
    <col min="4" max="9" width="12.83203125" style="50" customWidth="1"/>
    <col min="10" max="11" width="14.33203125" style="50" customWidth="1"/>
    <col min="12" max="15" width="12.83203125" style="50" customWidth="1"/>
    <col min="16" max="16" width="12.83203125" style="607" customWidth="1"/>
    <col min="17" max="18" width="12.83203125" style="50" customWidth="1"/>
    <col min="19" max="20" width="12.5" style="50" customWidth="1"/>
    <col min="21" max="21" width="12.5" customWidth="1"/>
    <col min="23" max="23" width="13.83203125" customWidth="1"/>
    <col min="24" max="24" width="12" customWidth="1"/>
  </cols>
  <sheetData>
    <row r="1" spans="1:24" ht="71" x14ac:dyDescent="0.2">
      <c r="B1" s="1" t="s">
        <v>218</v>
      </c>
      <c r="D1" s="49" t="s">
        <v>217</v>
      </c>
      <c r="E1" s="49" t="s">
        <v>232</v>
      </c>
      <c r="F1" s="618" t="s">
        <v>237</v>
      </c>
      <c r="G1" s="618" t="s">
        <v>68</v>
      </c>
      <c r="H1" s="52" t="s">
        <v>210</v>
      </c>
      <c r="I1" s="52" t="s">
        <v>211</v>
      </c>
      <c r="J1" s="57" t="s">
        <v>223</v>
      </c>
      <c r="K1" s="52" t="s">
        <v>224</v>
      </c>
      <c r="L1" s="53" t="s">
        <v>213</v>
      </c>
      <c r="M1" s="53" t="s">
        <v>212</v>
      </c>
      <c r="N1" s="57" t="s">
        <v>233</v>
      </c>
      <c r="O1" s="53" t="s">
        <v>234</v>
      </c>
      <c r="P1" s="619" t="s">
        <v>345</v>
      </c>
      <c r="Q1" s="619" t="s">
        <v>346</v>
      </c>
      <c r="R1" s="56" t="s">
        <v>235</v>
      </c>
      <c r="S1" s="870" t="s">
        <v>347</v>
      </c>
      <c r="T1" s="870"/>
      <c r="U1" s="870"/>
      <c r="W1" s="623" t="s">
        <v>351</v>
      </c>
      <c r="X1" s="623" t="s">
        <v>352</v>
      </c>
    </row>
    <row r="2" spans="1:24" ht="28" x14ac:dyDescent="0.15">
      <c r="B2" s="47" t="s">
        <v>230</v>
      </c>
      <c r="C2" s="47" t="s">
        <v>236</v>
      </c>
      <c r="H2" s="49" t="s">
        <v>221</v>
      </c>
      <c r="J2" s="58"/>
      <c r="N2" s="58"/>
      <c r="S2" s="620" t="s">
        <v>348</v>
      </c>
      <c r="T2" s="621" t="s">
        <v>349</v>
      </c>
      <c r="U2" s="622" t="s">
        <v>350</v>
      </c>
    </row>
    <row r="3" spans="1:24" ht="16" x14ac:dyDescent="0.2">
      <c r="A3" s="51">
        <f>'Goals &amp; Fees'!N9</f>
        <v>0</v>
      </c>
      <c r="B3" s="3" t="s">
        <v>210</v>
      </c>
      <c r="C3" s="47" t="s">
        <v>219</v>
      </c>
      <c r="D3" s="55">
        <f>'Closed Transactions'!K3</f>
        <v>15250</v>
      </c>
      <c r="E3" s="50">
        <f>'Closed Transactions'!L3</f>
        <v>0</v>
      </c>
      <c r="F3" s="59">
        <f>IFERROR(D3-E3-G3,0)</f>
        <v>10370</v>
      </c>
      <c r="G3" s="50">
        <f>IFERROR(X3+N3+J3,0)</f>
        <v>4880</v>
      </c>
      <c r="H3" s="50">
        <f>IFERROR((D3-E3)*$A$3,0)</f>
        <v>0</v>
      </c>
      <c r="I3" s="50">
        <f>IF($A$4&lt;&gt;"",$A$4,"")</f>
        <v>0</v>
      </c>
      <c r="J3" s="58">
        <f>IF(D3="", 0,IF(H3&gt;=A5,A5,IF(H3&lt;1,I3,H3)))</f>
        <v>0</v>
      </c>
      <c r="K3" s="50">
        <f>IF(D3="",0,J3)</f>
        <v>0</v>
      </c>
      <c r="L3" s="50">
        <f>IFERROR((D3-E3)*$A$7,0)</f>
        <v>0</v>
      </c>
      <c r="M3" s="50">
        <f>IF($A$8&lt;&gt;"",$A$8,"")</f>
        <v>0</v>
      </c>
      <c r="N3" s="58">
        <f>IF(D3="", 0,IF(L3&gt;=$A$9,$A$9,IF(L3&lt;1,M3,L3)))</f>
        <v>0</v>
      </c>
      <c r="O3" s="50">
        <f>IF(D3="",0,N3)</f>
        <v>0</v>
      </c>
      <c r="P3" s="607">
        <f t="shared" ref="P3:P13" si="0">IF(D3="",0,(D3-E3)*$A$12)</f>
        <v>10370</v>
      </c>
      <c r="Q3" s="50">
        <f>IF(D3="",0,IF($A$14=0,(100%-$A$12)*D4,IF($A$14&lt;D3-E3-P3,$A$14,D3-E3-P3)))</f>
        <v>4880</v>
      </c>
      <c r="R3" s="50">
        <f>Q3</f>
        <v>4880</v>
      </c>
      <c r="S3" s="624">
        <f>IF('Goals &amp; Fees'!E30&gt;1,0,(D3-E3)*A35)</f>
        <v>0</v>
      </c>
      <c r="T3" s="625">
        <f>S3</f>
        <v>0</v>
      </c>
      <c r="U3" s="626">
        <f>IF(D3="", "",D3-E3-S3)</f>
        <v>15250</v>
      </c>
      <c r="W3">
        <f>IF(P3&gt;0,Q3,S3)</f>
        <v>4880</v>
      </c>
      <c r="X3">
        <f>IF(P3&gt;0,Q3,U3)</f>
        <v>4880</v>
      </c>
    </row>
    <row r="4" spans="1:24" ht="16" x14ac:dyDescent="0.2">
      <c r="A4">
        <f>'Goals &amp; Fees'!L9</f>
        <v>0</v>
      </c>
      <c r="B4" s="3" t="s">
        <v>211</v>
      </c>
      <c r="C4" s="47" t="s">
        <v>222</v>
      </c>
      <c r="D4" s="55">
        <f>'Closed Transactions'!K4</f>
        <v>10000.000000000002</v>
      </c>
      <c r="E4" s="50">
        <f>'Closed Transactions'!L4</f>
        <v>0</v>
      </c>
      <c r="F4" s="59">
        <f t="shared" ref="F4:F64" si="1">IFERROR(D4-E4-G4,0)</f>
        <v>6880.0000000000018</v>
      </c>
      <c r="G4" s="50">
        <f t="shared" ref="G4:G64" si="2">IFERROR(X4+N4+J4,0)</f>
        <v>3120</v>
      </c>
      <c r="H4" s="50">
        <f t="shared" ref="H4:H64" si="3">IFERROR((D4-E4)*$A$3,0)</f>
        <v>0</v>
      </c>
      <c r="I4" s="50">
        <f t="shared" ref="I4:I64" si="4">IF($A$4&lt;&gt;"",$A$4,"")</f>
        <v>0</v>
      </c>
      <c r="J4" s="58">
        <f>IF(D4="",0,IF((IF(K3&gt;=$A$5,0,IF(H4&lt;1,I4,H4))+K3)&gt;$A$5,$A$5-K3,IF(K3&gt;=$A$5,0,IF(H4&lt;1,I4,H4))))</f>
        <v>0</v>
      </c>
      <c r="K4" s="50">
        <f>IF(D4="",0,J4+K3)</f>
        <v>0</v>
      </c>
      <c r="L4" s="50">
        <f t="shared" ref="L4:L64" si="5">IFERROR((D4-E4)*$A$7,0)</f>
        <v>0</v>
      </c>
      <c r="M4" s="50">
        <f t="shared" ref="M4:M64" si="6">IF($A$8&lt;&gt;"",$A$8,"")</f>
        <v>0</v>
      </c>
      <c r="N4" s="58">
        <f>IF(D4="",0,IF((IF(O3&gt;=$A$9,0,IF(L4&lt;1,M4,L4))+O3)&gt;$A$9,$A$9-O3,IF(O3&gt;=$A$9,0,IF(L4&lt;1,M4,L4))))</f>
        <v>0</v>
      </c>
      <c r="O4" s="50">
        <f>IF(D4="",0,N4+O3)</f>
        <v>0</v>
      </c>
      <c r="P4" s="607">
        <f>IF(D4="",0,(D4-E4)*$A$12)</f>
        <v>6800.0000000000018</v>
      </c>
      <c r="Q4" s="50">
        <f>IF(D4="",0,IF($A$14=0,(100%-$A$12)*D4,IF(R3&gt;=$A$14,(100%-$A$13)*(D4-E4),IF(R3+(D4-E4-P4)&gt;=$A$14,$A$14-R3,(D4-E4-P4)))))</f>
        <v>3120</v>
      </c>
      <c r="R4" s="50">
        <f>Q4+R3</f>
        <v>8000</v>
      </c>
      <c r="S4" s="624">
        <f>_xlfn.XLOOKUP(T3,$B$35:$B$40,$A$35:$A$40,,1)*(D4-E4)</f>
        <v>0</v>
      </c>
      <c r="T4" s="625">
        <f>S4+T3</f>
        <v>0</v>
      </c>
      <c r="U4" s="626">
        <f>D4-E4-S4</f>
        <v>10000.000000000002</v>
      </c>
      <c r="W4">
        <f>IF(P4&gt;0,Q4,S4)</f>
        <v>3120</v>
      </c>
      <c r="X4">
        <f>IF(P4&gt;0,Q4,U4)</f>
        <v>3120</v>
      </c>
    </row>
    <row r="5" spans="1:24" ht="16" x14ac:dyDescent="0.2">
      <c r="A5" s="96">
        <f>'Goals &amp; Fees'!L13</f>
        <v>0</v>
      </c>
      <c r="B5" s="3" t="s">
        <v>105</v>
      </c>
      <c r="C5" s="47" t="s">
        <v>225</v>
      </c>
      <c r="D5" s="55">
        <f>'Closed Transactions'!K5</f>
        <v>662.5</v>
      </c>
      <c r="E5" s="50">
        <f>'Closed Transactions'!L5</f>
        <v>0</v>
      </c>
      <c r="F5" s="59">
        <f t="shared" si="1"/>
        <v>563.125</v>
      </c>
      <c r="G5" s="50">
        <f t="shared" si="2"/>
        <v>99.375000000000014</v>
      </c>
      <c r="H5" s="50">
        <f t="shared" si="3"/>
        <v>0</v>
      </c>
      <c r="I5" s="50">
        <f t="shared" si="4"/>
        <v>0</v>
      </c>
      <c r="J5" s="58">
        <f t="shared" ref="J5:J64" si="7">IF(D5="",0,IF((IF(K4&gt;=$A$5,0,IF(H5&lt;1,I5,H5))+K4)&gt;$A$5,$A$5-K4,IF(K4&gt;=$A$5,0,IF(H5&lt;1,I5,H5))))</f>
        <v>0</v>
      </c>
      <c r="K5" s="50">
        <f t="shared" ref="K5:K64" si="8">IF(D5="",0,J5+K4)</f>
        <v>0</v>
      </c>
      <c r="L5" s="50">
        <f t="shared" si="5"/>
        <v>0</v>
      </c>
      <c r="M5" s="50">
        <f t="shared" si="6"/>
        <v>0</v>
      </c>
      <c r="N5" s="58">
        <f t="shared" ref="N5:N64" si="9">IF(D5="",0,IF((IF(O4&gt;=$A$9,0,IF(L5&lt;1,M5,L5))+O4)&gt;$A$9,$A$9-O4,IF(O4&gt;=$A$9,0,IF(L5&lt;1,M5,L5))))</f>
        <v>0</v>
      </c>
      <c r="O5" s="50">
        <f t="shared" ref="O5:O64" si="10">IF(D5="",0,N5+O4)</f>
        <v>0</v>
      </c>
      <c r="P5" s="607">
        <f t="shared" si="0"/>
        <v>450.50000000000006</v>
      </c>
      <c r="Q5" s="50">
        <f t="shared" ref="Q5:Q64" si="11">IF(D5="",0,IF($A$14=0,(100%-$A$12)*D5,IF(R4&gt;=$A$14,(100%-$A$13)*(D5-E5),IF(R4+(D5-E5-P5)&gt;=$A$14,$A$14-R4,(D5-E5-P5)))))</f>
        <v>99.375000000000014</v>
      </c>
      <c r="R5" s="50">
        <f>Q5+R4</f>
        <v>8099.375</v>
      </c>
      <c r="S5" s="624">
        <f t="shared" ref="S5:S64" si="12">_xlfn.XLOOKUP(T4,$B$35:$B$40,$A$35:$A$40,,1)*(D5-E5)</f>
        <v>0</v>
      </c>
      <c r="T5" s="625">
        <f t="shared" ref="T5:T64" si="13">S5+T4</f>
        <v>0</v>
      </c>
      <c r="U5" s="626">
        <f t="shared" ref="U5:U64" si="14">D5-E5-S5</f>
        <v>662.5</v>
      </c>
      <c r="W5">
        <f t="shared" ref="W5:W64" si="15">IF(P5&gt;0,Q5,S5)</f>
        <v>99.375000000000014</v>
      </c>
      <c r="X5">
        <f t="shared" ref="X5:X64" si="16">IF(P5&gt;0,Q5,U5)</f>
        <v>99.375000000000014</v>
      </c>
    </row>
    <row r="6" spans="1:24" ht="16" x14ac:dyDescent="0.2">
      <c r="A6" s="97">
        <f>SUM(J3:J64)</f>
        <v>0</v>
      </c>
      <c r="B6" s="95" t="s">
        <v>314</v>
      </c>
      <c r="C6" s="47" t="s">
        <v>226</v>
      </c>
      <c r="D6" s="55">
        <f>'Closed Transactions'!K6</f>
        <v>2995</v>
      </c>
      <c r="E6" s="50">
        <f>'Closed Transactions'!L6</f>
        <v>749</v>
      </c>
      <c r="F6" s="59">
        <f t="shared" si="1"/>
        <v>1909.1</v>
      </c>
      <c r="G6" s="50">
        <f t="shared" si="2"/>
        <v>336.90000000000003</v>
      </c>
      <c r="H6" s="50">
        <f t="shared" si="3"/>
        <v>0</v>
      </c>
      <c r="I6" s="50">
        <f t="shared" si="4"/>
        <v>0</v>
      </c>
      <c r="J6" s="58">
        <f t="shared" si="7"/>
        <v>0</v>
      </c>
      <c r="K6" s="50">
        <f t="shared" si="8"/>
        <v>0</v>
      </c>
      <c r="L6" s="50">
        <f t="shared" si="5"/>
        <v>0</v>
      </c>
      <c r="M6" s="50">
        <f t="shared" si="6"/>
        <v>0</v>
      </c>
      <c r="N6" s="58">
        <f t="shared" si="9"/>
        <v>0</v>
      </c>
      <c r="O6" s="50">
        <f t="shared" si="10"/>
        <v>0</v>
      </c>
      <c r="P6" s="607">
        <f t="shared" si="0"/>
        <v>1527.2800000000002</v>
      </c>
      <c r="Q6" s="50">
        <f t="shared" si="11"/>
        <v>336.90000000000003</v>
      </c>
      <c r="R6" s="50">
        <f>Q6+R5</f>
        <v>8436.2749999999996</v>
      </c>
      <c r="S6" s="624">
        <f t="shared" si="12"/>
        <v>0</v>
      </c>
      <c r="T6" s="625">
        <f t="shared" si="13"/>
        <v>0</v>
      </c>
      <c r="U6" s="626">
        <f t="shared" si="14"/>
        <v>2246</v>
      </c>
      <c r="W6">
        <f t="shared" si="15"/>
        <v>336.90000000000003</v>
      </c>
      <c r="X6">
        <f t="shared" si="16"/>
        <v>336.90000000000003</v>
      </c>
    </row>
    <row r="7" spans="1:24" ht="16" x14ac:dyDescent="0.2">
      <c r="A7" s="48">
        <f>'Goals &amp; Fees'!N18</f>
        <v>0</v>
      </c>
      <c r="B7" s="3" t="s">
        <v>213</v>
      </c>
      <c r="C7" s="47" t="s">
        <v>227</v>
      </c>
      <c r="D7" s="55">
        <f>'Closed Transactions'!K7</f>
        <v>22500</v>
      </c>
      <c r="E7" s="50">
        <f>'Closed Transactions'!L7</f>
        <v>0</v>
      </c>
      <c r="F7" s="59">
        <f t="shared" si="1"/>
        <v>19125</v>
      </c>
      <c r="G7" s="50">
        <f t="shared" si="2"/>
        <v>3375.0000000000005</v>
      </c>
      <c r="H7" s="50">
        <f t="shared" si="3"/>
        <v>0</v>
      </c>
      <c r="I7" s="50">
        <f t="shared" si="4"/>
        <v>0</v>
      </c>
      <c r="J7" s="58">
        <f t="shared" si="7"/>
        <v>0</v>
      </c>
      <c r="K7" s="50">
        <f t="shared" si="8"/>
        <v>0</v>
      </c>
      <c r="L7" s="50">
        <f t="shared" si="5"/>
        <v>0</v>
      </c>
      <c r="M7" s="50">
        <f t="shared" si="6"/>
        <v>0</v>
      </c>
      <c r="N7" s="58">
        <f t="shared" si="9"/>
        <v>0</v>
      </c>
      <c r="O7" s="50">
        <f t="shared" si="10"/>
        <v>0</v>
      </c>
      <c r="P7" s="607">
        <f t="shared" si="0"/>
        <v>15300.000000000002</v>
      </c>
      <c r="Q7" s="50">
        <f t="shared" si="11"/>
        <v>3375.0000000000005</v>
      </c>
      <c r="R7" s="50">
        <f>Q7+R6</f>
        <v>11811.275</v>
      </c>
      <c r="S7" s="624">
        <f t="shared" si="12"/>
        <v>0</v>
      </c>
      <c r="T7" s="625">
        <f t="shared" si="13"/>
        <v>0</v>
      </c>
      <c r="U7" s="626">
        <f t="shared" si="14"/>
        <v>22500</v>
      </c>
      <c r="W7">
        <f t="shared" si="15"/>
        <v>3375.0000000000005</v>
      </c>
      <c r="X7">
        <f t="shared" si="16"/>
        <v>3375.0000000000005</v>
      </c>
    </row>
    <row r="8" spans="1:24" ht="16" x14ac:dyDescent="0.2">
      <c r="A8">
        <f>'Goals &amp; Fees'!L18</f>
        <v>0</v>
      </c>
      <c r="B8" s="3" t="s">
        <v>212</v>
      </c>
      <c r="C8" s="47" t="s">
        <v>228</v>
      </c>
      <c r="D8" s="55">
        <f>'Closed Transactions'!K8</f>
        <v>39000</v>
      </c>
      <c r="E8" s="50">
        <f>'Closed Transactions'!L8</f>
        <v>0</v>
      </c>
      <c r="F8" s="59">
        <f t="shared" si="1"/>
        <v>33150</v>
      </c>
      <c r="G8" s="50">
        <f t="shared" si="2"/>
        <v>5850.0000000000009</v>
      </c>
      <c r="H8" s="50">
        <f t="shared" si="3"/>
        <v>0</v>
      </c>
      <c r="I8" s="50">
        <f t="shared" si="4"/>
        <v>0</v>
      </c>
      <c r="J8" s="58">
        <f t="shared" si="7"/>
        <v>0</v>
      </c>
      <c r="K8" s="50">
        <f t="shared" si="8"/>
        <v>0</v>
      </c>
      <c r="L8" s="50">
        <f t="shared" si="5"/>
        <v>0</v>
      </c>
      <c r="M8" s="50">
        <f t="shared" si="6"/>
        <v>0</v>
      </c>
      <c r="N8" s="58">
        <f t="shared" si="9"/>
        <v>0</v>
      </c>
      <c r="O8" s="50">
        <f t="shared" si="10"/>
        <v>0</v>
      </c>
      <c r="P8" s="607">
        <f t="shared" si="0"/>
        <v>26520.000000000004</v>
      </c>
      <c r="Q8" s="50">
        <f t="shared" si="11"/>
        <v>5850.0000000000009</v>
      </c>
      <c r="R8" s="50">
        <f t="shared" ref="R8:R34" si="17">Q8+R7</f>
        <v>17661.275000000001</v>
      </c>
      <c r="S8" s="624">
        <f t="shared" si="12"/>
        <v>0</v>
      </c>
      <c r="T8" s="625">
        <f t="shared" si="13"/>
        <v>0</v>
      </c>
      <c r="U8" s="626">
        <f t="shared" si="14"/>
        <v>39000</v>
      </c>
      <c r="W8">
        <f t="shared" si="15"/>
        <v>5850.0000000000009</v>
      </c>
      <c r="X8">
        <f t="shared" si="16"/>
        <v>5850.0000000000009</v>
      </c>
    </row>
    <row r="9" spans="1:24" ht="16" x14ac:dyDescent="0.2">
      <c r="A9">
        <f>'Goals &amp; Fees'!L22</f>
        <v>0</v>
      </c>
      <c r="B9" s="3" t="s">
        <v>131</v>
      </c>
      <c r="C9" s="47" t="s">
        <v>229</v>
      </c>
      <c r="D9" s="55">
        <f>'Closed Transactions'!K9</f>
        <v>2925</v>
      </c>
      <c r="E9" s="50">
        <f>'Closed Transactions'!L9</f>
        <v>0</v>
      </c>
      <c r="F9" s="59">
        <f t="shared" si="1"/>
        <v>2486.25</v>
      </c>
      <c r="G9" s="50">
        <f t="shared" si="2"/>
        <v>438.75000000000006</v>
      </c>
      <c r="H9" s="50">
        <f t="shared" si="3"/>
        <v>0</v>
      </c>
      <c r="I9" s="50">
        <f t="shared" si="4"/>
        <v>0</v>
      </c>
      <c r="J9" s="58">
        <f t="shared" si="7"/>
        <v>0</v>
      </c>
      <c r="K9" s="50">
        <f t="shared" si="8"/>
        <v>0</v>
      </c>
      <c r="L9" s="50">
        <f t="shared" si="5"/>
        <v>0</v>
      </c>
      <c r="M9" s="50">
        <f t="shared" si="6"/>
        <v>0</v>
      </c>
      <c r="N9" s="58">
        <f t="shared" si="9"/>
        <v>0</v>
      </c>
      <c r="O9" s="50">
        <f t="shared" si="10"/>
        <v>0</v>
      </c>
      <c r="P9" s="607">
        <f t="shared" si="0"/>
        <v>1989.0000000000002</v>
      </c>
      <c r="Q9" s="50">
        <f t="shared" si="11"/>
        <v>438.75000000000006</v>
      </c>
      <c r="R9" s="50">
        <f t="shared" si="17"/>
        <v>18100.025000000001</v>
      </c>
      <c r="S9" s="624">
        <f t="shared" si="12"/>
        <v>0</v>
      </c>
      <c r="T9" s="625">
        <f t="shared" si="13"/>
        <v>0</v>
      </c>
      <c r="U9" s="626">
        <f t="shared" si="14"/>
        <v>2925</v>
      </c>
      <c r="W9">
        <f t="shared" si="15"/>
        <v>438.75000000000006</v>
      </c>
      <c r="X9">
        <f t="shared" si="16"/>
        <v>438.75000000000006</v>
      </c>
    </row>
    <row r="10" spans="1:24" ht="16" x14ac:dyDescent="0.2">
      <c r="A10" s="97">
        <f>SUM(N3:N64)</f>
        <v>0</v>
      </c>
      <c r="B10" s="95" t="s">
        <v>297</v>
      </c>
      <c r="C10" s="47" t="s">
        <v>238</v>
      </c>
      <c r="D10" s="55">
        <f>'Closed Transactions'!K10</f>
        <v>0</v>
      </c>
      <c r="E10" s="50">
        <f>'Closed Transactions'!L10</f>
        <v>0</v>
      </c>
      <c r="F10" s="59">
        <f t="shared" si="1"/>
        <v>0</v>
      </c>
      <c r="G10" s="50">
        <f t="shared" si="2"/>
        <v>0</v>
      </c>
      <c r="H10" s="50">
        <f t="shared" si="3"/>
        <v>0</v>
      </c>
      <c r="I10" s="50">
        <f t="shared" si="4"/>
        <v>0</v>
      </c>
      <c r="J10" s="58">
        <f t="shared" si="7"/>
        <v>0</v>
      </c>
      <c r="K10" s="50">
        <f t="shared" si="8"/>
        <v>0</v>
      </c>
      <c r="L10" s="50">
        <f t="shared" si="5"/>
        <v>0</v>
      </c>
      <c r="M10" s="50">
        <f t="shared" si="6"/>
        <v>0</v>
      </c>
      <c r="N10" s="58">
        <f t="shared" si="9"/>
        <v>0</v>
      </c>
      <c r="O10" s="50">
        <f t="shared" si="10"/>
        <v>0</v>
      </c>
      <c r="P10" s="607">
        <f t="shared" si="0"/>
        <v>0</v>
      </c>
      <c r="Q10" s="50">
        <f t="shared" si="11"/>
        <v>0</v>
      </c>
      <c r="R10" s="50">
        <f t="shared" si="17"/>
        <v>18100.025000000001</v>
      </c>
      <c r="S10" s="624">
        <f t="shared" si="12"/>
        <v>0</v>
      </c>
      <c r="T10" s="625">
        <f t="shared" si="13"/>
        <v>0</v>
      </c>
      <c r="U10" s="626">
        <f t="shared" si="14"/>
        <v>0</v>
      </c>
      <c r="W10">
        <f t="shared" si="15"/>
        <v>0</v>
      </c>
      <c r="X10">
        <f t="shared" si="16"/>
        <v>0</v>
      </c>
    </row>
    <row r="11" spans="1:24" ht="16" x14ac:dyDescent="0.2">
      <c r="B11" s="3" t="s">
        <v>231</v>
      </c>
      <c r="C11" s="47" t="s">
        <v>239</v>
      </c>
      <c r="D11" s="55">
        <f>'Closed Transactions'!K11</f>
        <v>548.75</v>
      </c>
      <c r="E11" s="50">
        <f>'Closed Transactions'!L11</f>
        <v>0</v>
      </c>
      <c r="F11" s="59">
        <f t="shared" si="1"/>
        <v>466.4375</v>
      </c>
      <c r="G11" s="50">
        <f t="shared" si="2"/>
        <v>82.312500000000014</v>
      </c>
      <c r="H11" s="50">
        <f t="shared" si="3"/>
        <v>0</v>
      </c>
      <c r="I11" s="50">
        <f t="shared" si="4"/>
        <v>0</v>
      </c>
      <c r="J11" s="58">
        <f t="shared" si="7"/>
        <v>0</v>
      </c>
      <c r="K11" s="50">
        <f t="shared" si="8"/>
        <v>0</v>
      </c>
      <c r="L11" s="50">
        <f t="shared" si="5"/>
        <v>0</v>
      </c>
      <c r="M11" s="50">
        <f t="shared" si="6"/>
        <v>0</v>
      </c>
      <c r="N11" s="58">
        <f t="shared" si="9"/>
        <v>0</v>
      </c>
      <c r="O11" s="50">
        <f t="shared" si="10"/>
        <v>0</v>
      </c>
      <c r="P11" s="607">
        <f t="shared" si="0"/>
        <v>373.15000000000003</v>
      </c>
      <c r="Q11" s="50">
        <f t="shared" si="11"/>
        <v>82.312500000000014</v>
      </c>
      <c r="R11" s="50">
        <f t="shared" si="17"/>
        <v>18182.337500000001</v>
      </c>
      <c r="S11" s="624">
        <f t="shared" si="12"/>
        <v>0</v>
      </c>
      <c r="T11" s="625">
        <f t="shared" si="13"/>
        <v>0</v>
      </c>
      <c r="U11" s="626">
        <f t="shared" si="14"/>
        <v>548.75</v>
      </c>
      <c r="W11">
        <f t="shared" si="15"/>
        <v>82.312500000000014</v>
      </c>
      <c r="X11">
        <f t="shared" si="16"/>
        <v>82.312500000000014</v>
      </c>
    </row>
    <row r="12" spans="1:24" ht="16" x14ac:dyDescent="0.2">
      <c r="A12" s="48">
        <f>'Goals &amp; Fees'!F35</f>
        <v>0.68</v>
      </c>
      <c r="B12" s="3" t="s">
        <v>215</v>
      </c>
      <c r="C12" s="47" t="s">
        <v>240</v>
      </c>
      <c r="D12" s="55">
        <f>'Closed Transactions'!K12</f>
        <v>0</v>
      </c>
      <c r="E12" s="50">
        <f>'Closed Transactions'!L12</f>
        <v>0</v>
      </c>
      <c r="F12" s="59">
        <f t="shared" si="1"/>
        <v>0</v>
      </c>
      <c r="G12" s="50">
        <f t="shared" si="2"/>
        <v>0</v>
      </c>
      <c r="H12" s="50">
        <f t="shared" si="3"/>
        <v>0</v>
      </c>
      <c r="I12" s="50">
        <f t="shared" si="4"/>
        <v>0</v>
      </c>
      <c r="J12" s="58">
        <f t="shared" si="7"/>
        <v>0</v>
      </c>
      <c r="K12" s="50">
        <f t="shared" si="8"/>
        <v>0</v>
      </c>
      <c r="L12" s="50">
        <f t="shared" si="5"/>
        <v>0</v>
      </c>
      <c r="M12" s="50">
        <f t="shared" si="6"/>
        <v>0</v>
      </c>
      <c r="N12" s="58">
        <f t="shared" si="9"/>
        <v>0</v>
      </c>
      <c r="O12" s="50">
        <f t="shared" si="10"/>
        <v>0</v>
      </c>
      <c r="P12" s="607">
        <f t="shared" si="0"/>
        <v>0</v>
      </c>
      <c r="Q12" s="50">
        <f t="shared" si="11"/>
        <v>0</v>
      </c>
      <c r="R12" s="50">
        <f t="shared" si="17"/>
        <v>18182.337500000001</v>
      </c>
      <c r="S12" s="624">
        <f t="shared" si="12"/>
        <v>0</v>
      </c>
      <c r="T12" s="625">
        <f t="shared" si="13"/>
        <v>0</v>
      </c>
      <c r="U12" s="626">
        <f t="shared" si="14"/>
        <v>0</v>
      </c>
      <c r="W12">
        <f t="shared" si="15"/>
        <v>0</v>
      </c>
      <c r="X12">
        <f t="shared" si="16"/>
        <v>0</v>
      </c>
    </row>
    <row r="13" spans="1:24" ht="16" x14ac:dyDescent="0.2">
      <c r="A13" s="48">
        <f>'Goals &amp; Fees'!F40</f>
        <v>0.85</v>
      </c>
      <c r="B13" s="3" t="s">
        <v>216</v>
      </c>
      <c r="C13" s="47" t="s">
        <v>241</v>
      </c>
      <c r="D13" s="55">
        <f>'Closed Transactions'!K13</f>
        <v>600</v>
      </c>
      <c r="E13" s="50">
        <f>'Closed Transactions'!L13</f>
        <v>0</v>
      </c>
      <c r="F13" s="59">
        <f t="shared" si="1"/>
        <v>510</v>
      </c>
      <c r="G13" s="50">
        <f t="shared" si="2"/>
        <v>90.000000000000014</v>
      </c>
      <c r="H13" s="50">
        <f t="shared" si="3"/>
        <v>0</v>
      </c>
      <c r="I13" s="50">
        <f t="shared" si="4"/>
        <v>0</v>
      </c>
      <c r="J13" s="58">
        <f t="shared" si="7"/>
        <v>0</v>
      </c>
      <c r="K13" s="50">
        <f t="shared" si="8"/>
        <v>0</v>
      </c>
      <c r="L13" s="50">
        <f t="shared" si="5"/>
        <v>0</v>
      </c>
      <c r="M13" s="50">
        <f t="shared" si="6"/>
        <v>0</v>
      </c>
      <c r="N13" s="58">
        <f t="shared" si="9"/>
        <v>0</v>
      </c>
      <c r="O13" s="50">
        <f t="shared" si="10"/>
        <v>0</v>
      </c>
      <c r="P13" s="607">
        <f t="shared" si="0"/>
        <v>408.00000000000006</v>
      </c>
      <c r="Q13" s="50">
        <f t="shared" si="11"/>
        <v>90.000000000000014</v>
      </c>
      <c r="R13" s="50">
        <f t="shared" si="17"/>
        <v>18272.337500000001</v>
      </c>
      <c r="S13" s="624">
        <f t="shared" si="12"/>
        <v>0</v>
      </c>
      <c r="T13" s="625">
        <f t="shared" si="13"/>
        <v>0</v>
      </c>
      <c r="U13" s="626">
        <f t="shared" si="14"/>
        <v>600</v>
      </c>
      <c r="W13">
        <f t="shared" si="15"/>
        <v>90.000000000000014</v>
      </c>
      <c r="X13">
        <f t="shared" si="16"/>
        <v>90.000000000000014</v>
      </c>
    </row>
    <row r="14" spans="1:24" ht="16" x14ac:dyDescent="0.2">
      <c r="A14">
        <f>'Goals &amp; Fees'!E30</f>
        <v>8000</v>
      </c>
      <c r="B14" s="3" t="s">
        <v>214</v>
      </c>
      <c r="C14" s="47" t="s">
        <v>242</v>
      </c>
      <c r="D14" s="55">
        <f>'Closed Transactions'!K14</f>
        <v>6000.0006528000004</v>
      </c>
      <c r="E14" s="50">
        <f>'Closed Transactions'!L14</f>
        <v>1800</v>
      </c>
      <c r="F14" s="59">
        <f t="shared" si="1"/>
        <v>3570.00055488</v>
      </c>
      <c r="G14" s="50">
        <f t="shared" si="2"/>
        <v>630.00009792000014</v>
      </c>
      <c r="H14" s="50">
        <f t="shared" si="3"/>
        <v>0</v>
      </c>
      <c r="I14" s="50">
        <f t="shared" si="4"/>
        <v>0</v>
      </c>
      <c r="J14" s="58">
        <f t="shared" si="7"/>
        <v>0</v>
      </c>
      <c r="K14" s="50">
        <f t="shared" si="8"/>
        <v>0</v>
      </c>
      <c r="L14" s="50">
        <f t="shared" si="5"/>
        <v>0</v>
      </c>
      <c r="M14" s="50">
        <f t="shared" si="6"/>
        <v>0</v>
      </c>
      <c r="N14" s="58">
        <f t="shared" si="9"/>
        <v>0</v>
      </c>
      <c r="O14" s="50">
        <f t="shared" si="10"/>
        <v>0</v>
      </c>
      <c r="P14" s="607">
        <f>IF(D14="",0,(D14-E14)*$A$12)</f>
        <v>2856.0004439040003</v>
      </c>
      <c r="Q14" s="50">
        <f t="shared" si="11"/>
        <v>630.00009792000014</v>
      </c>
      <c r="R14" s="50">
        <f t="shared" si="17"/>
        <v>18902.337597920003</v>
      </c>
      <c r="S14" s="624">
        <f t="shared" si="12"/>
        <v>0</v>
      </c>
      <c r="T14" s="625">
        <f t="shared" si="13"/>
        <v>0</v>
      </c>
      <c r="U14" s="626">
        <f t="shared" si="14"/>
        <v>4200.0006528000004</v>
      </c>
      <c r="W14">
        <f t="shared" si="15"/>
        <v>630.00009792000014</v>
      </c>
      <c r="X14">
        <f t="shared" si="16"/>
        <v>630.00009792000014</v>
      </c>
    </row>
    <row r="15" spans="1:24" ht="16" x14ac:dyDescent="0.2">
      <c r="A15" s="321">
        <f>SUM(Q3:Q64)</f>
        <v>21583.025097920003</v>
      </c>
      <c r="B15" s="3" t="s">
        <v>298</v>
      </c>
      <c r="C15" s="47" t="s">
        <v>243</v>
      </c>
      <c r="D15" s="55">
        <f>'Closed Transactions'!K15</f>
        <v>3295</v>
      </c>
      <c r="E15" s="50">
        <f>'Closed Transactions'!L15</f>
        <v>823.75</v>
      </c>
      <c r="F15" s="59">
        <f t="shared" si="1"/>
        <v>2100.5625</v>
      </c>
      <c r="G15" s="50">
        <f t="shared" si="2"/>
        <v>370.68750000000006</v>
      </c>
      <c r="H15" s="50">
        <f t="shared" si="3"/>
        <v>0</v>
      </c>
      <c r="I15" s="50">
        <f t="shared" si="4"/>
        <v>0</v>
      </c>
      <c r="J15" s="58">
        <f t="shared" si="7"/>
        <v>0</v>
      </c>
      <c r="K15" s="50">
        <f t="shared" si="8"/>
        <v>0</v>
      </c>
      <c r="L15" s="50">
        <f t="shared" si="5"/>
        <v>0</v>
      </c>
      <c r="M15" s="50">
        <f t="shared" si="6"/>
        <v>0</v>
      </c>
      <c r="N15" s="58">
        <f t="shared" si="9"/>
        <v>0</v>
      </c>
      <c r="O15" s="50">
        <f t="shared" si="10"/>
        <v>0</v>
      </c>
      <c r="P15" s="607">
        <f t="shared" ref="P15:P64" si="18">IF(D15="",0,(D15-E15)*$A$12)</f>
        <v>1680.45</v>
      </c>
      <c r="Q15" s="50">
        <f t="shared" si="11"/>
        <v>370.68750000000006</v>
      </c>
      <c r="R15" s="50">
        <f t="shared" si="17"/>
        <v>19273.025097920003</v>
      </c>
      <c r="S15" s="624">
        <f t="shared" si="12"/>
        <v>0</v>
      </c>
      <c r="T15" s="625">
        <f t="shared" si="13"/>
        <v>0</v>
      </c>
      <c r="U15" s="626">
        <f t="shared" si="14"/>
        <v>2471.25</v>
      </c>
      <c r="W15">
        <f t="shared" si="15"/>
        <v>370.68750000000006</v>
      </c>
      <c r="X15">
        <f t="shared" si="16"/>
        <v>370.68750000000006</v>
      </c>
    </row>
    <row r="16" spans="1:24" x14ac:dyDescent="0.15">
      <c r="C16" s="47" t="s">
        <v>244</v>
      </c>
      <c r="D16" s="55">
        <f>'Closed Transactions'!K16</f>
        <v>0</v>
      </c>
      <c r="E16" s="50">
        <f>'Closed Transactions'!L16</f>
        <v>0</v>
      </c>
      <c r="F16" s="59">
        <f t="shared" si="1"/>
        <v>0</v>
      </c>
      <c r="G16" s="50">
        <f t="shared" si="2"/>
        <v>0</v>
      </c>
      <c r="H16" s="50">
        <f t="shared" si="3"/>
        <v>0</v>
      </c>
      <c r="I16" s="50">
        <f t="shared" si="4"/>
        <v>0</v>
      </c>
      <c r="J16" s="58">
        <f t="shared" si="7"/>
        <v>0</v>
      </c>
      <c r="K16" s="50">
        <f t="shared" si="8"/>
        <v>0</v>
      </c>
      <c r="L16" s="50">
        <f t="shared" si="5"/>
        <v>0</v>
      </c>
      <c r="M16" s="50">
        <f t="shared" si="6"/>
        <v>0</v>
      </c>
      <c r="N16" s="58">
        <f t="shared" si="9"/>
        <v>0</v>
      </c>
      <c r="O16" s="50">
        <f t="shared" si="10"/>
        <v>0</v>
      </c>
      <c r="P16" s="607">
        <f t="shared" si="18"/>
        <v>0</v>
      </c>
      <c r="Q16" s="50">
        <f t="shared" si="11"/>
        <v>0</v>
      </c>
      <c r="R16" s="50">
        <f t="shared" si="17"/>
        <v>19273.025097920003</v>
      </c>
      <c r="S16" s="624">
        <f t="shared" si="12"/>
        <v>0</v>
      </c>
      <c r="T16" s="625">
        <f t="shared" si="13"/>
        <v>0</v>
      </c>
      <c r="U16" s="626">
        <f t="shared" si="14"/>
        <v>0</v>
      </c>
      <c r="W16">
        <f t="shared" si="15"/>
        <v>0</v>
      </c>
      <c r="X16">
        <f t="shared" si="16"/>
        <v>0</v>
      </c>
    </row>
    <row r="17" spans="1:24" ht="14" x14ac:dyDescent="0.15">
      <c r="A17" s="318"/>
      <c r="B17" s="317" t="s">
        <v>313</v>
      </c>
      <c r="C17" s="47" t="s">
        <v>245</v>
      </c>
      <c r="D17" s="55">
        <f>'Closed Transactions'!K17</f>
        <v>15400</v>
      </c>
      <c r="E17" s="50">
        <f>'Closed Transactions'!L17</f>
        <v>0</v>
      </c>
      <c r="F17" s="59">
        <f t="shared" si="1"/>
        <v>13090</v>
      </c>
      <c r="G17" s="50">
        <f t="shared" si="2"/>
        <v>2310.0000000000005</v>
      </c>
      <c r="H17" s="50">
        <f t="shared" si="3"/>
        <v>0</v>
      </c>
      <c r="I17" s="50">
        <f t="shared" si="4"/>
        <v>0</v>
      </c>
      <c r="J17" s="58">
        <f t="shared" si="7"/>
        <v>0</v>
      </c>
      <c r="K17" s="50">
        <f t="shared" si="8"/>
        <v>0</v>
      </c>
      <c r="L17" s="50">
        <f t="shared" si="5"/>
        <v>0</v>
      </c>
      <c r="M17" s="50">
        <f t="shared" si="6"/>
        <v>0</v>
      </c>
      <c r="N17" s="58">
        <f t="shared" si="9"/>
        <v>0</v>
      </c>
      <c r="O17" s="50">
        <f t="shared" si="10"/>
        <v>0</v>
      </c>
      <c r="P17" s="607">
        <f t="shared" si="18"/>
        <v>10472</v>
      </c>
      <c r="Q17" s="50">
        <f t="shared" si="11"/>
        <v>2310.0000000000005</v>
      </c>
      <c r="R17" s="50">
        <f t="shared" si="17"/>
        <v>21583.025097920003</v>
      </c>
      <c r="S17" s="624">
        <f t="shared" si="12"/>
        <v>0</v>
      </c>
      <c r="T17" s="625">
        <f t="shared" si="13"/>
        <v>0</v>
      </c>
      <c r="U17" s="626">
        <f t="shared" si="14"/>
        <v>15400</v>
      </c>
      <c r="W17">
        <f t="shared" si="15"/>
        <v>2310.0000000000005</v>
      </c>
      <c r="X17">
        <f t="shared" si="16"/>
        <v>2310.0000000000005</v>
      </c>
    </row>
    <row r="18" spans="1:24" ht="16" x14ac:dyDescent="0.2">
      <c r="A18" s="3" t="s">
        <v>131</v>
      </c>
      <c r="B18" s="3">
        <f>A9</f>
        <v>0</v>
      </c>
      <c r="C18" s="47" t="s">
        <v>246</v>
      </c>
      <c r="D18" s="55">
        <f>'Closed Transactions'!K18</f>
        <v>0</v>
      </c>
      <c r="E18" s="50">
        <f>'Closed Transactions'!L18</f>
        <v>0</v>
      </c>
      <c r="F18" s="59">
        <f t="shared" si="1"/>
        <v>0</v>
      </c>
      <c r="G18" s="50">
        <f t="shared" si="2"/>
        <v>0</v>
      </c>
      <c r="H18" s="50">
        <f t="shared" si="3"/>
        <v>0</v>
      </c>
      <c r="I18" s="50">
        <f t="shared" si="4"/>
        <v>0</v>
      </c>
      <c r="J18" s="58">
        <f t="shared" si="7"/>
        <v>0</v>
      </c>
      <c r="K18" s="50">
        <f t="shared" si="8"/>
        <v>0</v>
      </c>
      <c r="L18" s="50">
        <f t="shared" si="5"/>
        <v>0</v>
      </c>
      <c r="M18" s="50">
        <f t="shared" si="6"/>
        <v>0</v>
      </c>
      <c r="N18" s="58">
        <f t="shared" si="9"/>
        <v>0</v>
      </c>
      <c r="O18" s="50">
        <f t="shared" si="10"/>
        <v>0</v>
      </c>
      <c r="P18" s="607">
        <f t="shared" si="18"/>
        <v>0</v>
      </c>
      <c r="Q18" s="50">
        <f t="shared" si="11"/>
        <v>0</v>
      </c>
      <c r="R18" s="50">
        <f t="shared" si="17"/>
        <v>21583.025097920003</v>
      </c>
      <c r="S18" s="624">
        <f t="shared" si="12"/>
        <v>0</v>
      </c>
      <c r="T18" s="625">
        <f t="shared" si="13"/>
        <v>0</v>
      </c>
      <c r="U18" s="626">
        <f t="shared" si="14"/>
        <v>0</v>
      </c>
      <c r="W18">
        <f t="shared" si="15"/>
        <v>0</v>
      </c>
      <c r="X18">
        <f t="shared" si="16"/>
        <v>0</v>
      </c>
    </row>
    <row r="19" spans="1:24" ht="16" x14ac:dyDescent="0.2">
      <c r="A19" s="95" t="s">
        <v>297</v>
      </c>
      <c r="B19" s="319">
        <f>A10</f>
        <v>0</v>
      </c>
      <c r="C19" s="47" t="s">
        <v>247</v>
      </c>
      <c r="D19" s="55">
        <f>'Closed Transactions'!K19</f>
        <v>0</v>
      </c>
      <c r="E19" s="50">
        <f>'Closed Transactions'!L19</f>
        <v>0</v>
      </c>
      <c r="F19" s="59">
        <f t="shared" si="1"/>
        <v>0</v>
      </c>
      <c r="G19" s="50">
        <f t="shared" si="2"/>
        <v>0</v>
      </c>
      <c r="H19" s="50">
        <f t="shared" si="3"/>
        <v>0</v>
      </c>
      <c r="I19" s="50">
        <f t="shared" si="4"/>
        <v>0</v>
      </c>
      <c r="J19" s="58">
        <f t="shared" si="7"/>
        <v>0</v>
      </c>
      <c r="K19" s="50">
        <f t="shared" si="8"/>
        <v>0</v>
      </c>
      <c r="L19" s="50">
        <f t="shared" si="5"/>
        <v>0</v>
      </c>
      <c r="M19" s="50">
        <f t="shared" si="6"/>
        <v>0</v>
      </c>
      <c r="N19" s="58">
        <f t="shared" si="9"/>
        <v>0</v>
      </c>
      <c r="O19" s="50">
        <f t="shared" si="10"/>
        <v>0</v>
      </c>
      <c r="P19" s="607">
        <f t="shared" si="18"/>
        <v>0</v>
      </c>
      <c r="Q19" s="50">
        <f t="shared" si="11"/>
        <v>0</v>
      </c>
      <c r="R19" s="50">
        <f t="shared" si="17"/>
        <v>21583.025097920003</v>
      </c>
      <c r="S19" s="624">
        <f t="shared" si="12"/>
        <v>0</v>
      </c>
      <c r="T19" s="625">
        <f t="shared" si="13"/>
        <v>0</v>
      </c>
      <c r="U19" s="626">
        <f t="shared" si="14"/>
        <v>0</v>
      </c>
      <c r="W19">
        <f t="shared" si="15"/>
        <v>0</v>
      </c>
      <c r="X19">
        <f t="shared" si="16"/>
        <v>0</v>
      </c>
    </row>
    <row r="20" spans="1:24" ht="14" x14ac:dyDescent="0.15">
      <c r="A20" s="318" t="s">
        <v>359</v>
      </c>
      <c r="B20" s="640" t="e">
        <f>B19/B18</f>
        <v>#DIV/0!</v>
      </c>
      <c r="C20" s="47" t="s">
        <v>248</v>
      </c>
      <c r="D20" s="55" t="str">
        <f>'Closed Transactions'!K20</f>
        <v/>
      </c>
      <c r="E20" s="50">
        <f>'Closed Transactions'!L20</f>
        <v>0</v>
      </c>
      <c r="F20" s="59">
        <f t="shared" si="1"/>
        <v>0</v>
      </c>
      <c r="G20" s="50">
        <f t="shared" si="2"/>
        <v>0</v>
      </c>
      <c r="H20" s="50">
        <f t="shared" si="3"/>
        <v>0</v>
      </c>
      <c r="I20" s="50">
        <f t="shared" si="4"/>
        <v>0</v>
      </c>
      <c r="J20" s="58">
        <f t="shared" si="7"/>
        <v>0</v>
      </c>
      <c r="K20" s="50">
        <f t="shared" si="8"/>
        <v>0</v>
      </c>
      <c r="L20" s="50">
        <f t="shared" si="5"/>
        <v>0</v>
      </c>
      <c r="M20" s="50">
        <f t="shared" si="6"/>
        <v>0</v>
      </c>
      <c r="N20" s="58">
        <f t="shared" si="9"/>
        <v>0</v>
      </c>
      <c r="O20" s="50">
        <f t="shared" si="10"/>
        <v>0</v>
      </c>
      <c r="P20" s="607">
        <f t="shared" si="18"/>
        <v>0</v>
      </c>
      <c r="Q20" s="50">
        <f t="shared" si="11"/>
        <v>0</v>
      </c>
      <c r="R20" s="50">
        <f t="shared" si="17"/>
        <v>21583.025097920003</v>
      </c>
      <c r="S20" s="624" t="e">
        <f t="shared" si="12"/>
        <v>#VALUE!</v>
      </c>
      <c r="T20" s="625" t="e">
        <f t="shared" si="13"/>
        <v>#VALUE!</v>
      </c>
      <c r="U20" s="626" t="e">
        <f t="shared" si="14"/>
        <v>#VALUE!</v>
      </c>
      <c r="W20" t="e">
        <f t="shared" si="15"/>
        <v>#VALUE!</v>
      </c>
      <c r="X20" t="e">
        <f t="shared" si="16"/>
        <v>#VALUE!</v>
      </c>
    </row>
    <row r="21" spans="1:24" ht="14" x14ac:dyDescent="0.15">
      <c r="A21" s="318"/>
      <c r="B21" s="318"/>
      <c r="C21" s="47" t="s">
        <v>249</v>
      </c>
      <c r="D21" s="55" t="str">
        <f>'Closed Transactions'!K21</f>
        <v/>
      </c>
      <c r="E21" s="50">
        <f>'Closed Transactions'!L21</f>
        <v>0</v>
      </c>
      <c r="F21" s="59">
        <f t="shared" si="1"/>
        <v>0</v>
      </c>
      <c r="G21" s="50">
        <f t="shared" si="2"/>
        <v>0</v>
      </c>
      <c r="H21" s="50">
        <f t="shared" si="3"/>
        <v>0</v>
      </c>
      <c r="I21" s="50">
        <f t="shared" si="4"/>
        <v>0</v>
      </c>
      <c r="J21" s="58">
        <f t="shared" si="7"/>
        <v>0</v>
      </c>
      <c r="K21" s="50">
        <f t="shared" si="8"/>
        <v>0</v>
      </c>
      <c r="L21" s="50">
        <f t="shared" si="5"/>
        <v>0</v>
      </c>
      <c r="M21" s="50">
        <f t="shared" si="6"/>
        <v>0</v>
      </c>
      <c r="N21" s="58">
        <f t="shared" si="9"/>
        <v>0</v>
      </c>
      <c r="O21" s="50">
        <f t="shared" si="10"/>
        <v>0</v>
      </c>
      <c r="P21" s="607">
        <f t="shared" si="18"/>
        <v>0</v>
      </c>
      <c r="Q21" s="50">
        <f t="shared" si="11"/>
        <v>0</v>
      </c>
      <c r="R21" s="50">
        <f t="shared" si="17"/>
        <v>21583.025097920003</v>
      </c>
      <c r="S21" s="624" t="e">
        <f t="shared" si="12"/>
        <v>#VALUE!</v>
      </c>
      <c r="T21" s="625" t="e">
        <f t="shared" si="13"/>
        <v>#VALUE!</v>
      </c>
      <c r="U21" s="626" t="e">
        <f t="shared" si="14"/>
        <v>#VALUE!</v>
      </c>
      <c r="W21" t="e">
        <f t="shared" si="15"/>
        <v>#VALUE!</v>
      </c>
      <c r="X21" t="e">
        <f t="shared" si="16"/>
        <v>#VALUE!</v>
      </c>
    </row>
    <row r="22" spans="1:24" ht="16" x14ac:dyDescent="0.2">
      <c r="A22" s="3" t="s">
        <v>214</v>
      </c>
      <c r="B22">
        <f>A14</f>
        <v>8000</v>
      </c>
      <c r="C22" s="47" t="s">
        <v>250</v>
      </c>
      <c r="D22" s="55" t="str">
        <f>'Closed Transactions'!K22</f>
        <v/>
      </c>
      <c r="E22" s="50">
        <f>'Closed Transactions'!L22</f>
        <v>0</v>
      </c>
      <c r="F22" s="59">
        <f t="shared" si="1"/>
        <v>0</v>
      </c>
      <c r="G22" s="50">
        <f t="shared" si="2"/>
        <v>0</v>
      </c>
      <c r="H22" s="50">
        <f t="shared" si="3"/>
        <v>0</v>
      </c>
      <c r="I22" s="50">
        <f t="shared" si="4"/>
        <v>0</v>
      </c>
      <c r="J22" s="58">
        <f t="shared" si="7"/>
        <v>0</v>
      </c>
      <c r="K22" s="50">
        <f t="shared" si="8"/>
        <v>0</v>
      </c>
      <c r="L22" s="50">
        <f t="shared" si="5"/>
        <v>0</v>
      </c>
      <c r="M22" s="50">
        <f t="shared" si="6"/>
        <v>0</v>
      </c>
      <c r="N22" s="58">
        <f t="shared" si="9"/>
        <v>0</v>
      </c>
      <c r="O22" s="50">
        <f t="shared" si="10"/>
        <v>0</v>
      </c>
      <c r="P22" s="607">
        <f t="shared" si="18"/>
        <v>0</v>
      </c>
      <c r="Q22" s="50">
        <f t="shared" si="11"/>
        <v>0</v>
      </c>
      <c r="R22" s="50">
        <f t="shared" si="17"/>
        <v>21583.025097920003</v>
      </c>
      <c r="S22" s="624" t="e">
        <f t="shared" si="12"/>
        <v>#VALUE!</v>
      </c>
      <c r="T22" s="625" t="e">
        <f t="shared" si="13"/>
        <v>#VALUE!</v>
      </c>
      <c r="U22" s="626" t="e">
        <f t="shared" si="14"/>
        <v>#VALUE!</v>
      </c>
      <c r="W22" t="e">
        <f t="shared" si="15"/>
        <v>#VALUE!</v>
      </c>
      <c r="X22" t="e">
        <f t="shared" si="16"/>
        <v>#VALUE!</v>
      </c>
    </row>
    <row r="23" spans="1:24" ht="16" x14ac:dyDescent="0.2">
      <c r="A23" s="3" t="s">
        <v>298</v>
      </c>
      <c r="B23">
        <f>A15</f>
        <v>21583.025097920003</v>
      </c>
      <c r="C23" s="47" t="s">
        <v>251</v>
      </c>
      <c r="D23" s="55" t="str">
        <f>'Closed Transactions'!K23</f>
        <v/>
      </c>
      <c r="E23" s="50">
        <f>'Closed Transactions'!L23</f>
        <v>0</v>
      </c>
      <c r="F23" s="59">
        <f t="shared" si="1"/>
        <v>0</v>
      </c>
      <c r="G23" s="50">
        <f t="shared" si="2"/>
        <v>0</v>
      </c>
      <c r="H23" s="50">
        <f t="shared" si="3"/>
        <v>0</v>
      </c>
      <c r="I23" s="50">
        <f t="shared" si="4"/>
        <v>0</v>
      </c>
      <c r="J23" s="58">
        <f t="shared" si="7"/>
        <v>0</v>
      </c>
      <c r="K23" s="50">
        <f t="shared" si="8"/>
        <v>0</v>
      </c>
      <c r="L23" s="50">
        <f t="shared" si="5"/>
        <v>0</v>
      </c>
      <c r="M23" s="50">
        <f t="shared" si="6"/>
        <v>0</v>
      </c>
      <c r="N23" s="58">
        <f t="shared" si="9"/>
        <v>0</v>
      </c>
      <c r="O23" s="50">
        <f t="shared" si="10"/>
        <v>0</v>
      </c>
      <c r="P23" s="607">
        <f t="shared" si="18"/>
        <v>0</v>
      </c>
      <c r="Q23" s="50">
        <f t="shared" si="11"/>
        <v>0</v>
      </c>
      <c r="R23" s="50">
        <f t="shared" si="17"/>
        <v>21583.025097920003</v>
      </c>
      <c r="S23" s="624" t="e">
        <f t="shared" si="12"/>
        <v>#VALUE!</v>
      </c>
      <c r="T23" s="625" t="e">
        <f t="shared" si="13"/>
        <v>#VALUE!</v>
      </c>
      <c r="U23" s="626" t="e">
        <f t="shared" si="14"/>
        <v>#VALUE!</v>
      </c>
      <c r="W23" t="e">
        <f t="shared" si="15"/>
        <v>#VALUE!</v>
      </c>
      <c r="X23" t="e">
        <f t="shared" si="16"/>
        <v>#VALUE!</v>
      </c>
    </row>
    <row r="24" spans="1:24" ht="14" x14ac:dyDescent="0.15">
      <c r="A24" s="318" t="s">
        <v>359</v>
      </c>
      <c r="B24" s="640">
        <f>B23/B22</f>
        <v>2.6978781372400005</v>
      </c>
      <c r="C24" s="47" t="s">
        <v>252</v>
      </c>
      <c r="D24" s="55" t="str">
        <f>'Closed Transactions'!K24</f>
        <v/>
      </c>
      <c r="E24" s="50">
        <f>'Closed Transactions'!L24</f>
        <v>0</v>
      </c>
      <c r="F24" s="59">
        <f t="shared" si="1"/>
        <v>0</v>
      </c>
      <c r="G24" s="50">
        <f t="shared" si="2"/>
        <v>0</v>
      </c>
      <c r="H24" s="50">
        <f t="shared" si="3"/>
        <v>0</v>
      </c>
      <c r="I24" s="50">
        <f t="shared" si="4"/>
        <v>0</v>
      </c>
      <c r="J24" s="58">
        <f t="shared" si="7"/>
        <v>0</v>
      </c>
      <c r="K24" s="50">
        <f t="shared" si="8"/>
        <v>0</v>
      </c>
      <c r="L24" s="50">
        <f t="shared" si="5"/>
        <v>0</v>
      </c>
      <c r="M24" s="50">
        <f t="shared" si="6"/>
        <v>0</v>
      </c>
      <c r="N24" s="58">
        <f t="shared" si="9"/>
        <v>0</v>
      </c>
      <c r="O24" s="50">
        <f t="shared" si="10"/>
        <v>0</v>
      </c>
      <c r="P24" s="607">
        <f t="shared" si="18"/>
        <v>0</v>
      </c>
      <c r="Q24" s="50">
        <f t="shared" si="11"/>
        <v>0</v>
      </c>
      <c r="R24" s="50">
        <f t="shared" si="17"/>
        <v>21583.025097920003</v>
      </c>
      <c r="S24" s="624" t="e">
        <f t="shared" si="12"/>
        <v>#VALUE!</v>
      </c>
      <c r="T24" s="625" t="e">
        <f t="shared" si="13"/>
        <v>#VALUE!</v>
      </c>
      <c r="U24" s="626" t="e">
        <f t="shared" si="14"/>
        <v>#VALUE!</v>
      </c>
      <c r="W24" t="e">
        <f t="shared" si="15"/>
        <v>#VALUE!</v>
      </c>
      <c r="X24" t="e">
        <f t="shared" si="16"/>
        <v>#VALUE!</v>
      </c>
    </row>
    <row r="25" spans="1:24" ht="14" x14ac:dyDescent="0.15">
      <c r="C25" s="47" t="s">
        <v>253</v>
      </c>
      <c r="D25" s="55" t="str">
        <f>'Closed Transactions'!K25</f>
        <v/>
      </c>
      <c r="E25" s="50">
        <f>'Closed Transactions'!L25</f>
        <v>0</v>
      </c>
      <c r="F25" s="59">
        <f t="shared" si="1"/>
        <v>0</v>
      </c>
      <c r="G25" s="50">
        <f t="shared" si="2"/>
        <v>0</v>
      </c>
      <c r="H25" s="50">
        <f t="shared" si="3"/>
        <v>0</v>
      </c>
      <c r="I25" s="50">
        <f t="shared" si="4"/>
        <v>0</v>
      </c>
      <c r="J25" s="58">
        <f t="shared" si="7"/>
        <v>0</v>
      </c>
      <c r="K25" s="50">
        <f t="shared" si="8"/>
        <v>0</v>
      </c>
      <c r="L25" s="50">
        <f t="shared" si="5"/>
        <v>0</v>
      </c>
      <c r="M25" s="50">
        <f t="shared" si="6"/>
        <v>0</v>
      </c>
      <c r="N25" s="58">
        <f t="shared" si="9"/>
        <v>0</v>
      </c>
      <c r="O25" s="50">
        <f t="shared" si="10"/>
        <v>0</v>
      </c>
      <c r="P25" s="607">
        <f t="shared" si="18"/>
        <v>0</v>
      </c>
      <c r="Q25" s="50">
        <f t="shared" si="11"/>
        <v>0</v>
      </c>
      <c r="R25" s="50">
        <f t="shared" si="17"/>
        <v>21583.025097920003</v>
      </c>
      <c r="S25" s="624" t="e">
        <f t="shared" si="12"/>
        <v>#VALUE!</v>
      </c>
      <c r="T25" s="625" t="e">
        <f t="shared" si="13"/>
        <v>#VALUE!</v>
      </c>
      <c r="U25" s="626" t="e">
        <f t="shared" si="14"/>
        <v>#VALUE!</v>
      </c>
      <c r="W25" t="e">
        <f t="shared" si="15"/>
        <v>#VALUE!</v>
      </c>
      <c r="X25" t="e">
        <f t="shared" si="16"/>
        <v>#VALUE!</v>
      </c>
    </row>
    <row r="26" spans="1:24" ht="16" x14ac:dyDescent="0.2">
      <c r="A26" s="3" t="s">
        <v>105</v>
      </c>
      <c r="B26" s="320">
        <f>A5</f>
        <v>0</v>
      </c>
      <c r="C26" s="47" t="s">
        <v>254</v>
      </c>
      <c r="D26" s="55" t="str">
        <f>'Closed Transactions'!K26</f>
        <v/>
      </c>
      <c r="E26" s="50">
        <f>'Closed Transactions'!L26</f>
        <v>0</v>
      </c>
      <c r="F26" s="59">
        <f t="shared" si="1"/>
        <v>0</v>
      </c>
      <c r="G26" s="50">
        <f t="shared" si="2"/>
        <v>0</v>
      </c>
      <c r="H26" s="50">
        <f t="shared" si="3"/>
        <v>0</v>
      </c>
      <c r="I26" s="50">
        <f t="shared" si="4"/>
        <v>0</v>
      </c>
      <c r="J26" s="58">
        <f t="shared" si="7"/>
        <v>0</v>
      </c>
      <c r="K26" s="50">
        <f t="shared" si="8"/>
        <v>0</v>
      </c>
      <c r="L26" s="50">
        <f t="shared" si="5"/>
        <v>0</v>
      </c>
      <c r="M26" s="50">
        <f t="shared" si="6"/>
        <v>0</v>
      </c>
      <c r="N26" s="58">
        <f t="shared" si="9"/>
        <v>0</v>
      </c>
      <c r="O26" s="50">
        <f t="shared" si="10"/>
        <v>0</v>
      </c>
      <c r="P26" s="607">
        <f t="shared" si="18"/>
        <v>0</v>
      </c>
      <c r="Q26" s="50">
        <f t="shared" si="11"/>
        <v>0</v>
      </c>
      <c r="R26" s="50">
        <f t="shared" si="17"/>
        <v>21583.025097920003</v>
      </c>
      <c r="S26" s="624" t="e">
        <f t="shared" si="12"/>
        <v>#VALUE!</v>
      </c>
      <c r="T26" s="625" t="e">
        <f t="shared" si="13"/>
        <v>#VALUE!</v>
      </c>
      <c r="U26" s="626" t="e">
        <f t="shared" si="14"/>
        <v>#VALUE!</v>
      </c>
      <c r="W26" t="e">
        <f t="shared" si="15"/>
        <v>#VALUE!</v>
      </c>
      <c r="X26" t="e">
        <f t="shared" si="16"/>
        <v>#VALUE!</v>
      </c>
    </row>
    <row r="27" spans="1:24" ht="16" x14ac:dyDescent="0.2">
      <c r="A27" s="95" t="s">
        <v>314</v>
      </c>
      <c r="B27" s="320">
        <f>A6</f>
        <v>0</v>
      </c>
      <c r="C27" s="47" t="s">
        <v>255</v>
      </c>
      <c r="D27" s="55" t="str">
        <f>'Closed Transactions'!K27</f>
        <v/>
      </c>
      <c r="E27" s="50">
        <f>'Closed Transactions'!L27</f>
        <v>0</v>
      </c>
      <c r="F27" s="59">
        <f t="shared" si="1"/>
        <v>0</v>
      </c>
      <c r="G27" s="50">
        <f t="shared" si="2"/>
        <v>0</v>
      </c>
      <c r="H27" s="50">
        <f t="shared" si="3"/>
        <v>0</v>
      </c>
      <c r="I27" s="50">
        <f t="shared" si="4"/>
        <v>0</v>
      </c>
      <c r="J27" s="58">
        <f t="shared" si="7"/>
        <v>0</v>
      </c>
      <c r="K27" s="50">
        <f t="shared" si="8"/>
        <v>0</v>
      </c>
      <c r="L27" s="50">
        <f t="shared" si="5"/>
        <v>0</v>
      </c>
      <c r="M27" s="50">
        <f t="shared" si="6"/>
        <v>0</v>
      </c>
      <c r="N27" s="58">
        <f t="shared" si="9"/>
        <v>0</v>
      </c>
      <c r="O27" s="50">
        <f t="shared" si="10"/>
        <v>0</v>
      </c>
      <c r="P27" s="607">
        <f t="shared" si="18"/>
        <v>0</v>
      </c>
      <c r="Q27" s="50">
        <f t="shared" si="11"/>
        <v>0</v>
      </c>
      <c r="R27" s="50">
        <f t="shared" si="17"/>
        <v>21583.025097920003</v>
      </c>
      <c r="S27" s="624" t="e">
        <f t="shared" si="12"/>
        <v>#VALUE!</v>
      </c>
      <c r="T27" s="625" t="e">
        <f t="shared" si="13"/>
        <v>#VALUE!</v>
      </c>
      <c r="U27" s="626" t="e">
        <f t="shared" si="14"/>
        <v>#VALUE!</v>
      </c>
      <c r="W27" t="e">
        <f t="shared" si="15"/>
        <v>#VALUE!</v>
      </c>
      <c r="X27" t="e">
        <f t="shared" si="16"/>
        <v>#VALUE!</v>
      </c>
    </row>
    <row r="28" spans="1:24" ht="14" x14ac:dyDescent="0.15">
      <c r="A28" s="318" t="s">
        <v>315</v>
      </c>
      <c r="B28" s="640" t="e">
        <f>B27/B26</f>
        <v>#DIV/0!</v>
      </c>
      <c r="C28" s="47" t="s">
        <v>256</v>
      </c>
      <c r="D28" s="55" t="str">
        <f>'Closed Transactions'!K28</f>
        <v/>
      </c>
      <c r="E28" s="50">
        <f>'Closed Transactions'!L28</f>
        <v>0</v>
      </c>
      <c r="F28" s="59">
        <f t="shared" si="1"/>
        <v>0</v>
      </c>
      <c r="G28" s="50">
        <f t="shared" si="2"/>
        <v>0</v>
      </c>
      <c r="H28" s="50">
        <f t="shared" si="3"/>
        <v>0</v>
      </c>
      <c r="I28" s="50">
        <f t="shared" si="4"/>
        <v>0</v>
      </c>
      <c r="J28" s="58">
        <f t="shared" si="7"/>
        <v>0</v>
      </c>
      <c r="K28" s="50">
        <f t="shared" si="8"/>
        <v>0</v>
      </c>
      <c r="L28" s="50">
        <f t="shared" si="5"/>
        <v>0</v>
      </c>
      <c r="M28" s="50">
        <f t="shared" si="6"/>
        <v>0</v>
      </c>
      <c r="N28" s="58">
        <f t="shared" si="9"/>
        <v>0</v>
      </c>
      <c r="O28" s="50">
        <f t="shared" si="10"/>
        <v>0</v>
      </c>
      <c r="P28" s="607">
        <f t="shared" si="18"/>
        <v>0</v>
      </c>
      <c r="Q28" s="50">
        <f t="shared" si="11"/>
        <v>0</v>
      </c>
      <c r="R28" s="50">
        <f t="shared" si="17"/>
        <v>21583.025097920003</v>
      </c>
      <c r="S28" s="624" t="e">
        <f t="shared" si="12"/>
        <v>#VALUE!</v>
      </c>
      <c r="T28" s="625" t="e">
        <f t="shared" si="13"/>
        <v>#VALUE!</v>
      </c>
      <c r="U28" s="626" t="e">
        <f t="shared" si="14"/>
        <v>#VALUE!</v>
      </c>
      <c r="W28" t="e">
        <f t="shared" si="15"/>
        <v>#VALUE!</v>
      </c>
      <c r="X28" t="e">
        <f t="shared" si="16"/>
        <v>#VALUE!</v>
      </c>
    </row>
    <row r="29" spans="1:24" ht="14" x14ac:dyDescent="0.15">
      <c r="A29" s="318"/>
      <c r="B29" s="318"/>
      <c r="C29" s="47" t="s">
        <v>257</v>
      </c>
      <c r="D29" s="55" t="str">
        <f>'Closed Transactions'!K29</f>
        <v/>
      </c>
      <c r="E29" s="50">
        <f>'Closed Transactions'!L29</f>
        <v>0</v>
      </c>
      <c r="F29" s="59">
        <f t="shared" si="1"/>
        <v>0</v>
      </c>
      <c r="G29" s="50">
        <f t="shared" si="2"/>
        <v>0</v>
      </c>
      <c r="H29" s="50">
        <f t="shared" si="3"/>
        <v>0</v>
      </c>
      <c r="I29" s="50">
        <f t="shared" si="4"/>
        <v>0</v>
      </c>
      <c r="J29" s="58">
        <f t="shared" si="7"/>
        <v>0</v>
      </c>
      <c r="K29" s="50">
        <f t="shared" si="8"/>
        <v>0</v>
      </c>
      <c r="L29" s="50">
        <f t="shared" si="5"/>
        <v>0</v>
      </c>
      <c r="M29" s="50">
        <f t="shared" si="6"/>
        <v>0</v>
      </c>
      <c r="N29" s="58">
        <f t="shared" si="9"/>
        <v>0</v>
      </c>
      <c r="O29" s="50">
        <f t="shared" si="10"/>
        <v>0</v>
      </c>
      <c r="P29" s="607">
        <f t="shared" si="18"/>
        <v>0</v>
      </c>
      <c r="Q29" s="50">
        <f t="shared" si="11"/>
        <v>0</v>
      </c>
      <c r="R29" s="50">
        <f t="shared" si="17"/>
        <v>21583.025097920003</v>
      </c>
      <c r="S29" s="624" t="e">
        <f t="shared" si="12"/>
        <v>#VALUE!</v>
      </c>
      <c r="T29" s="625" t="e">
        <f t="shared" si="13"/>
        <v>#VALUE!</v>
      </c>
      <c r="U29" s="626" t="e">
        <f t="shared" si="14"/>
        <v>#VALUE!</v>
      </c>
      <c r="W29" t="e">
        <f t="shared" si="15"/>
        <v>#VALUE!</v>
      </c>
      <c r="X29" t="e">
        <f t="shared" si="16"/>
        <v>#VALUE!</v>
      </c>
    </row>
    <row r="30" spans="1:24" ht="14" x14ac:dyDescent="0.15">
      <c r="C30" s="47" t="s">
        <v>258</v>
      </c>
      <c r="D30" s="55" t="str">
        <f>'Closed Transactions'!K30</f>
        <v/>
      </c>
      <c r="E30" s="50">
        <f>'Closed Transactions'!L30</f>
        <v>0</v>
      </c>
      <c r="F30" s="59">
        <f t="shared" si="1"/>
        <v>0</v>
      </c>
      <c r="G30" s="50">
        <f t="shared" si="2"/>
        <v>0</v>
      </c>
      <c r="H30" s="50">
        <f t="shared" si="3"/>
        <v>0</v>
      </c>
      <c r="I30" s="50">
        <f t="shared" si="4"/>
        <v>0</v>
      </c>
      <c r="J30" s="58">
        <f t="shared" si="7"/>
        <v>0</v>
      </c>
      <c r="K30" s="50">
        <f t="shared" si="8"/>
        <v>0</v>
      </c>
      <c r="L30" s="50">
        <f t="shared" si="5"/>
        <v>0</v>
      </c>
      <c r="M30" s="50">
        <f t="shared" si="6"/>
        <v>0</v>
      </c>
      <c r="N30" s="58">
        <f t="shared" si="9"/>
        <v>0</v>
      </c>
      <c r="O30" s="50">
        <f t="shared" si="10"/>
        <v>0</v>
      </c>
      <c r="P30" s="607">
        <f t="shared" si="18"/>
        <v>0</v>
      </c>
      <c r="Q30" s="50">
        <f t="shared" si="11"/>
        <v>0</v>
      </c>
      <c r="R30" s="50">
        <f t="shared" si="17"/>
        <v>21583.025097920003</v>
      </c>
      <c r="S30" s="624" t="e">
        <f t="shared" si="12"/>
        <v>#VALUE!</v>
      </c>
      <c r="T30" s="625" t="e">
        <f t="shared" si="13"/>
        <v>#VALUE!</v>
      </c>
      <c r="U30" s="626" t="e">
        <f t="shared" si="14"/>
        <v>#VALUE!</v>
      </c>
      <c r="W30" t="e">
        <f t="shared" si="15"/>
        <v>#VALUE!</v>
      </c>
      <c r="X30" t="e">
        <f t="shared" si="16"/>
        <v>#VALUE!</v>
      </c>
    </row>
    <row r="31" spans="1:24" ht="14" x14ac:dyDescent="0.15">
      <c r="C31" s="47" t="s">
        <v>259</v>
      </c>
      <c r="D31" s="55" t="str">
        <f>'Closed Transactions'!K31</f>
        <v/>
      </c>
      <c r="E31" s="50">
        <f>'Closed Transactions'!L31</f>
        <v>0</v>
      </c>
      <c r="F31" s="59">
        <f t="shared" si="1"/>
        <v>0</v>
      </c>
      <c r="G31" s="50">
        <f t="shared" si="2"/>
        <v>0</v>
      </c>
      <c r="H31" s="50">
        <f t="shared" si="3"/>
        <v>0</v>
      </c>
      <c r="I31" s="50">
        <f t="shared" si="4"/>
        <v>0</v>
      </c>
      <c r="J31" s="58">
        <f t="shared" si="7"/>
        <v>0</v>
      </c>
      <c r="K31" s="50">
        <f t="shared" si="8"/>
        <v>0</v>
      </c>
      <c r="L31" s="50">
        <f t="shared" si="5"/>
        <v>0</v>
      </c>
      <c r="M31" s="50">
        <f t="shared" si="6"/>
        <v>0</v>
      </c>
      <c r="N31" s="58">
        <f t="shared" si="9"/>
        <v>0</v>
      </c>
      <c r="O31" s="50">
        <f t="shared" si="10"/>
        <v>0</v>
      </c>
      <c r="P31" s="607">
        <f t="shared" si="18"/>
        <v>0</v>
      </c>
      <c r="Q31" s="50">
        <f t="shared" si="11"/>
        <v>0</v>
      </c>
      <c r="R31" s="50">
        <f t="shared" si="17"/>
        <v>21583.025097920003</v>
      </c>
      <c r="S31" s="624" t="e">
        <f t="shared" si="12"/>
        <v>#VALUE!</v>
      </c>
      <c r="T31" s="625" t="e">
        <f t="shared" si="13"/>
        <v>#VALUE!</v>
      </c>
      <c r="U31" s="626" t="e">
        <f t="shared" si="14"/>
        <v>#VALUE!</v>
      </c>
      <c r="W31" t="e">
        <f t="shared" si="15"/>
        <v>#VALUE!</v>
      </c>
      <c r="X31" t="e">
        <f t="shared" si="16"/>
        <v>#VALUE!</v>
      </c>
    </row>
    <row r="32" spans="1:24" ht="14" x14ac:dyDescent="0.15">
      <c r="C32" s="47" t="s">
        <v>260</v>
      </c>
      <c r="D32" s="55" t="str">
        <f>'Closed Transactions'!K32</f>
        <v/>
      </c>
      <c r="E32" s="50">
        <f>'Closed Transactions'!L32</f>
        <v>0</v>
      </c>
      <c r="F32" s="59">
        <f t="shared" si="1"/>
        <v>0</v>
      </c>
      <c r="G32" s="50">
        <f t="shared" si="2"/>
        <v>0</v>
      </c>
      <c r="H32" s="50">
        <f t="shared" si="3"/>
        <v>0</v>
      </c>
      <c r="I32" s="50">
        <f t="shared" si="4"/>
        <v>0</v>
      </c>
      <c r="J32" s="58">
        <f t="shared" si="7"/>
        <v>0</v>
      </c>
      <c r="K32" s="50">
        <f t="shared" si="8"/>
        <v>0</v>
      </c>
      <c r="L32" s="50">
        <f t="shared" si="5"/>
        <v>0</v>
      </c>
      <c r="M32" s="50">
        <f t="shared" si="6"/>
        <v>0</v>
      </c>
      <c r="N32" s="58">
        <f t="shared" si="9"/>
        <v>0</v>
      </c>
      <c r="O32" s="50">
        <f t="shared" si="10"/>
        <v>0</v>
      </c>
      <c r="P32" s="607">
        <f t="shared" si="18"/>
        <v>0</v>
      </c>
      <c r="Q32" s="50">
        <f t="shared" si="11"/>
        <v>0</v>
      </c>
      <c r="R32" s="50">
        <f t="shared" si="17"/>
        <v>21583.025097920003</v>
      </c>
      <c r="S32" s="624" t="e">
        <f t="shared" si="12"/>
        <v>#VALUE!</v>
      </c>
      <c r="T32" s="625" t="e">
        <f t="shared" si="13"/>
        <v>#VALUE!</v>
      </c>
      <c r="U32" s="626" t="e">
        <f t="shared" si="14"/>
        <v>#VALUE!</v>
      </c>
      <c r="W32" t="e">
        <f t="shared" si="15"/>
        <v>#VALUE!</v>
      </c>
      <c r="X32" t="e">
        <f t="shared" si="16"/>
        <v>#VALUE!</v>
      </c>
    </row>
    <row r="33" spans="1:24" ht="14" x14ac:dyDescent="0.15">
      <c r="C33" s="47" t="s">
        <v>261</v>
      </c>
      <c r="D33" s="55" t="str">
        <f>'Closed Transactions'!K33</f>
        <v/>
      </c>
      <c r="E33" s="50">
        <f>'Closed Transactions'!L33</f>
        <v>0</v>
      </c>
      <c r="F33" s="59">
        <f t="shared" si="1"/>
        <v>0</v>
      </c>
      <c r="G33" s="50">
        <f t="shared" si="2"/>
        <v>0</v>
      </c>
      <c r="H33" s="50">
        <f t="shared" si="3"/>
        <v>0</v>
      </c>
      <c r="I33" s="50">
        <f t="shared" si="4"/>
        <v>0</v>
      </c>
      <c r="J33" s="58">
        <f t="shared" si="7"/>
        <v>0</v>
      </c>
      <c r="K33" s="50">
        <f t="shared" si="8"/>
        <v>0</v>
      </c>
      <c r="L33" s="50">
        <f t="shared" si="5"/>
        <v>0</v>
      </c>
      <c r="M33" s="50">
        <f t="shared" si="6"/>
        <v>0</v>
      </c>
      <c r="N33" s="58">
        <f t="shared" si="9"/>
        <v>0</v>
      </c>
      <c r="O33" s="50">
        <f t="shared" si="10"/>
        <v>0</v>
      </c>
      <c r="P33" s="607">
        <f t="shared" si="18"/>
        <v>0</v>
      </c>
      <c r="Q33" s="50">
        <f t="shared" si="11"/>
        <v>0</v>
      </c>
      <c r="R33" s="50">
        <f t="shared" si="17"/>
        <v>21583.025097920003</v>
      </c>
      <c r="S33" s="624" t="e">
        <f t="shared" si="12"/>
        <v>#VALUE!</v>
      </c>
      <c r="T33" s="625" t="e">
        <f t="shared" si="13"/>
        <v>#VALUE!</v>
      </c>
      <c r="U33" s="626" t="e">
        <f t="shared" si="14"/>
        <v>#VALUE!</v>
      </c>
      <c r="W33" t="e">
        <f t="shared" si="15"/>
        <v>#VALUE!</v>
      </c>
      <c r="X33" t="e">
        <f t="shared" si="16"/>
        <v>#VALUE!</v>
      </c>
    </row>
    <row r="34" spans="1:24" ht="14" x14ac:dyDescent="0.15">
      <c r="A34" s="627" t="s">
        <v>353</v>
      </c>
      <c r="B34" s="627" t="s">
        <v>354</v>
      </c>
      <c r="C34" s="47" t="s">
        <v>262</v>
      </c>
      <c r="D34" s="55" t="str">
        <f>'Closed Transactions'!K34</f>
        <v/>
      </c>
      <c r="E34" s="50">
        <f>'Closed Transactions'!L34</f>
        <v>0</v>
      </c>
      <c r="F34" s="59">
        <f t="shared" si="1"/>
        <v>0</v>
      </c>
      <c r="G34" s="50">
        <f t="shared" si="2"/>
        <v>0</v>
      </c>
      <c r="H34" s="50">
        <f t="shared" si="3"/>
        <v>0</v>
      </c>
      <c r="I34" s="50">
        <f t="shared" si="4"/>
        <v>0</v>
      </c>
      <c r="J34" s="58">
        <f t="shared" si="7"/>
        <v>0</v>
      </c>
      <c r="K34" s="50">
        <f t="shared" si="8"/>
        <v>0</v>
      </c>
      <c r="L34" s="50">
        <f t="shared" si="5"/>
        <v>0</v>
      </c>
      <c r="M34" s="50">
        <f t="shared" si="6"/>
        <v>0</v>
      </c>
      <c r="N34" s="58">
        <f t="shared" si="9"/>
        <v>0</v>
      </c>
      <c r="O34" s="50">
        <f t="shared" si="10"/>
        <v>0</v>
      </c>
      <c r="P34" s="607">
        <f t="shared" si="18"/>
        <v>0</v>
      </c>
      <c r="Q34" s="50">
        <f t="shared" si="11"/>
        <v>0</v>
      </c>
      <c r="R34" s="50">
        <f t="shared" si="17"/>
        <v>21583.025097920003</v>
      </c>
      <c r="S34" s="624" t="e">
        <f t="shared" si="12"/>
        <v>#VALUE!</v>
      </c>
      <c r="T34" s="625" t="e">
        <f t="shared" si="13"/>
        <v>#VALUE!</v>
      </c>
      <c r="U34" s="626" t="e">
        <f t="shared" si="14"/>
        <v>#VALUE!</v>
      </c>
      <c r="W34" t="e">
        <f t="shared" si="15"/>
        <v>#VALUE!</v>
      </c>
      <c r="X34" t="e">
        <f t="shared" si="16"/>
        <v>#VALUE!</v>
      </c>
    </row>
    <row r="35" spans="1:24" ht="14" x14ac:dyDescent="0.15">
      <c r="A35" s="51">
        <f>'Goals &amp; Fees'!L32</f>
        <v>0</v>
      </c>
      <c r="B35" s="668">
        <f>'Goals &amp; Fees'!Q32</f>
        <v>0</v>
      </c>
      <c r="C35" s="47" t="s">
        <v>263</v>
      </c>
      <c r="D35" s="55" t="str">
        <f>'Closed Transactions'!K35</f>
        <v/>
      </c>
      <c r="E35" s="50">
        <f>'Closed Transactions'!L35</f>
        <v>0</v>
      </c>
      <c r="F35" s="59">
        <f t="shared" si="1"/>
        <v>0</v>
      </c>
      <c r="G35" s="50">
        <f t="shared" si="2"/>
        <v>0</v>
      </c>
      <c r="H35" s="50">
        <f t="shared" si="3"/>
        <v>0</v>
      </c>
      <c r="I35" s="50">
        <f t="shared" si="4"/>
        <v>0</v>
      </c>
      <c r="J35" s="58">
        <f t="shared" si="7"/>
        <v>0</v>
      </c>
      <c r="K35" s="50">
        <f t="shared" si="8"/>
        <v>0</v>
      </c>
      <c r="L35" s="50">
        <f t="shared" si="5"/>
        <v>0</v>
      </c>
      <c r="M35" s="50">
        <f t="shared" si="6"/>
        <v>0</v>
      </c>
      <c r="N35" s="58">
        <f t="shared" si="9"/>
        <v>0</v>
      </c>
      <c r="O35" s="50">
        <f t="shared" si="10"/>
        <v>0</v>
      </c>
      <c r="P35" s="607">
        <f t="shared" si="18"/>
        <v>0</v>
      </c>
      <c r="Q35" s="50">
        <f t="shared" si="11"/>
        <v>0</v>
      </c>
      <c r="R35" s="50">
        <f>Q35+R34</f>
        <v>21583.025097920003</v>
      </c>
      <c r="S35" s="624" t="e">
        <f t="shared" si="12"/>
        <v>#VALUE!</v>
      </c>
      <c r="T35" s="625" t="e">
        <f t="shared" si="13"/>
        <v>#VALUE!</v>
      </c>
      <c r="U35" s="626" t="e">
        <f t="shared" si="14"/>
        <v>#VALUE!</v>
      </c>
      <c r="W35" t="e">
        <f t="shared" si="15"/>
        <v>#VALUE!</v>
      </c>
      <c r="X35" t="e">
        <f t="shared" si="16"/>
        <v>#VALUE!</v>
      </c>
    </row>
    <row r="36" spans="1:24" ht="14" x14ac:dyDescent="0.15">
      <c r="A36" s="51">
        <f>'Goals &amp; Fees'!L34</f>
        <v>0</v>
      </c>
      <c r="B36" s="668">
        <f>'Goals &amp; Fees'!Q34</f>
        <v>0</v>
      </c>
      <c r="C36" s="47" t="s">
        <v>264</v>
      </c>
      <c r="D36" s="55" t="str">
        <f>'Closed Transactions'!K36</f>
        <v/>
      </c>
      <c r="E36" s="50">
        <f>'Closed Transactions'!L36</f>
        <v>0</v>
      </c>
      <c r="F36" s="59">
        <f t="shared" si="1"/>
        <v>0</v>
      </c>
      <c r="G36" s="50">
        <f t="shared" si="2"/>
        <v>0</v>
      </c>
      <c r="H36" s="50">
        <f t="shared" si="3"/>
        <v>0</v>
      </c>
      <c r="I36" s="50">
        <f t="shared" si="4"/>
        <v>0</v>
      </c>
      <c r="J36" s="58">
        <f t="shared" si="7"/>
        <v>0</v>
      </c>
      <c r="K36" s="50">
        <f t="shared" si="8"/>
        <v>0</v>
      </c>
      <c r="L36" s="50">
        <f t="shared" si="5"/>
        <v>0</v>
      </c>
      <c r="M36" s="50">
        <f t="shared" si="6"/>
        <v>0</v>
      </c>
      <c r="N36" s="58">
        <f t="shared" si="9"/>
        <v>0</v>
      </c>
      <c r="O36" s="50">
        <f t="shared" si="10"/>
        <v>0</v>
      </c>
      <c r="P36" s="607">
        <f t="shared" si="18"/>
        <v>0</v>
      </c>
      <c r="Q36" s="50">
        <f t="shared" si="11"/>
        <v>0</v>
      </c>
      <c r="R36" s="50">
        <f t="shared" ref="R36:R64" si="19">Q36+R35</f>
        <v>21583.025097920003</v>
      </c>
      <c r="S36" s="624" t="e">
        <f t="shared" si="12"/>
        <v>#VALUE!</v>
      </c>
      <c r="T36" s="625" t="e">
        <f t="shared" si="13"/>
        <v>#VALUE!</v>
      </c>
      <c r="U36" s="626" t="e">
        <f t="shared" si="14"/>
        <v>#VALUE!</v>
      </c>
      <c r="W36" t="e">
        <f t="shared" si="15"/>
        <v>#VALUE!</v>
      </c>
      <c r="X36" t="e">
        <f t="shared" si="16"/>
        <v>#VALUE!</v>
      </c>
    </row>
    <row r="37" spans="1:24" ht="14" x14ac:dyDescent="0.15">
      <c r="A37" s="51">
        <f>'Goals &amp; Fees'!L36</f>
        <v>0</v>
      </c>
      <c r="B37" s="668">
        <f>'Goals &amp; Fees'!Q36</f>
        <v>0</v>
      </c>
      <c r="C37" s="47" t="s">
        <v>265</v>
      </c>
      <c r="D37" s="55" t="str">
        <f>'Closed Transactions'!K37</f>
        <v/>
      </c>
      <c r="E37" s="50">
        <f>'Closed Transactions'!L37</f>
        <v>0</v>
      </c>
      <c r="F37" s="59">
        <f t="shared" si="1"/>
        <v>0</v>
      </c>
      <c r="G37" s="50">
        <f t="shared" si="2"/>
        <v>0</v>
      </c>
      <c r="H37" s="50">
        <f t="shared" si="3"/>
        <v>0</v>
      </c>
      <c r="I37" s="50">
        <f t="shared" si="4"/>
        <v>0</v>
      </c>
      <c r="J37" s="58">
        <f t="shared" si="7"/>
        <v>0</v>
      </c>
      <c r="K37" s="50">
        <f t="shared" si="8"/>
        <v>0</v>
      </c>
      <c r="L37" s="50">
        <f t="shared" si="5"/>
        <v>0</v>
      </c>
      <c r="M37" s="50">
        <f t="shared" si="6"/>
        <v>0</v>
      </c>
      <c r="N37" s="58">
        <f t="shared" si="9"/>
        <v>0</v>
      </c>
      <c r="O37" s="50">
        <f t="shared" si="10"/>
        <v>0</v>
      </c>
      <c r="P37" s="607">
        <f t="shared" si="18"/>
        <v>0</v>
      </c>
      <c r="Q37" s="50">
        <f t="shared" si="11"/>
        <v>0</v>
      </c>
      <c r="R37" s="50">
        <f t="shared" si="19"/>
        <v>21583.025097920003</v>
      </c>
      <c r="S37" s="624" t="e">
        <f t="shared" si="12"/>
        <v>#VALUE!</v>
      </c>
      <c r="T37" s="625" t="e">
        <f t="shared" si="13"/>
        <v>#VALUE!</v>
      </c>
      <c r="U37" s="626" t="e">
        <f t="shared" si="14"/>
        <v>#VALUE!</v>
      </c>
      <c r="W37" t="e">
        <f t="shared" si="15"/>
        <v>#VALUE!</v>
      </c>
      <c r="X37" t="e">
        <f t="shared" si="16"/>
        <v>#VALUE!</v>
      </c>
    </row>
    <row r="38" spans="1:24" ht="14" x14ac:dyDescent="0.15">
      <c r="A38" s="51">
        <f>'Goals &amp; Fees'!L38</f>
        <v>0</v>
      </c>
      <c r="B38" s="668">
        <f>'Goals &amp; Fees'!Q38</f>
        <v>0</v>
      </c>
      <c r="C38" s="47" t="s">
        <v>266</v>
      </c>
      <c r="D38" s="55" t="str">
        <f>'Closed Transactions'!K38</f>
        <v/>
      </c>
      <c r="E38" s="50">
        <f>'Closed Transactions'!L38</f>
        <v>0</v>
      </c>
      <c r="F38" s="59">
        <f t="shared" si="1"/>
        <v>0</v>
      </c>
      <c r="G38" s="50">
        <f t="shared" si="2"/>
        <v>0</v>
      </c>
      <c r="H38" s="50">
        <f t="shared" si="3"/>
        <v>0</v>
      </c>
      <c r="I38" s="50">
        <f t="shared" si="4"/>
        <v>0</v>
      </c>
      <c r="J38" s="58">
        <f t="shared" si="7"/>
        <v>0</v>
      </c>
      <c r="K38" s="50">
        <f t="shared" si="8"/>
        <v>0</v>
      </c>
      <c r="L38" s="50">
        <f t="shared" si="5"/>
        <v>0</v>
      </c>
      <c r="M38" s="50">
        <f t="shared" si="6"/>
        <v>0</v>
      </c>
      <c r="N38" s="58">
        <f t="shared" si="9"/>
        <v>0</v>
      </c>
      <c r="O38" s="50">
        <f t="shared" si="10"/>
        <v>0</v>
      </c>
      <c r="P38" s="607">
        <f t="shared" si="18"/>
        <v>0</v>
      </c>
      <c r="Q38" s="50">
        <f t="shared" si="11"/>
        <v>0</v>
      </c>
      <c r="R38" s="50">
        <f t="shared" si="19"/>
        <v>21583.025097920003</v>
      </c>
      <c r="S38" s="624" t="e">
        <f t="shared" si="12"/>
        <v>#VALUE!</v>
      </c>
      <c r="T38" s="625" t="e">
        <f t="shared" si="13"/>
        <v>#VALUE!</v>
      </c>
      <c r="U38" s="626" t="e">
        <f t="shared" si="14"/>
        <v>#VALUE!</v>
      </c>
      <c r="W38" t="e">
        <f t="shared" si="15"/>
        <v>#VALUE!</v>
      </c>
      <c r="X38" t="e">
        <f t="shared" si="16"/>
        <v>#VALUE!</v>
      </c>
    </row>
    <row r="39" spans="1:24" ht="14" x14ac:dyDescent="0.15">
      <c r="A39" s="51">
        <f>'Goals &amp; Fees'!L40</f>
        <v>0</v>
      </c>
      <c r="B39" s="668">
        <f>'Goals &amp; Fees'!Q40</f>
        <v>0</v>
      </c>
      <c r="C39" s="47" t="s">
        <v>267</v>
      </c>
      <c r="D39" s="55" t="str">
        <f>'Closed Transactions'!K39</f>
        <v/>
      </c>
      <c r="E39" s="50">
        <f>'Closed Transactions'!L39</f>
        <v>0</v>
      </c>
      <c r="F39" s="59">
        <f t="shared" si="1"/>
        <v>0</v>
      </c>
      <c r="G39" s="50">
        <f t="shared" si="2"/>
        <v>0</v>
      </c>
      <c r="H39" s="50">
        <f t="shared" si="3"/>
        <v>0</v>
      </c>
      <c r="I39" s="50">
        <f t="shared" si="4"/>
        <v>0</v>
      </c>
      <c r="J39" s="58">
        <f t="shared" si="7"/>
        <v>0</v>
      </c>
      <c r="K39" s="50">
        <f t="shared" si="8"/>
        <v>0</v>
      </c>
      <c r="L39" s="50">
        <f t="shared" si="5"/>
        <v>0</v>
      </c>
      <c r="M39" s="50">
        <f t="shared" si="6"/>
        <v>0</v>
      </c>
      <c r="N39" s="58">
        <f t="shared" si="9"/>
        <v>0</v>
      </c>
      <c r="O39" s="50">
        <f t="shared" si="10"/>
        <v>0</v>
      </c>
      <c r="P39" s="607">
        <f t="shared" si="18"/>
        <v>0</v>
      </c>
      <c r="Q39" s="50">
        <f t="shared" si="11"/>
        <v>0</v>
      </c>
      <c r="R39" s="50">
        <f t="shared" si="19"/>
        <v>21583.025097920003</v>
      </c>
      <c r="S39" s="624" t="e">
        <f t="shared" si="12"/>
        <v>#VALUE!</v>
      </c>
      <c r="T39" s="625" t="e">
        <f t="shared" si="13"/>
        <v>#VALUE!</v>
      </c>
      <c r="U39" s="626" t="e">
        <f t="shared" si="14"/>
        <v>#VALUE!</v>
      </c>
      <c r="W39" t="e">
        <f t="shared" si="15"/>
        <v>#VALUE!</v>
      </c>
      <c r="X39" t="e">
        <f t="shared" si="16"/>
        <v>#VALUE!</v>
      </c>
    </row>
    <row r="40" spans="1:24" ht="14" x14ac:dyDescent="0.15">
      <c r="A40" s="628">
        <f>'Goals &amp; Fees'!L42</f>
        <v>0</v>
      </c>
      <c r="B40" s="669"/>
      <c r="C40" s="47" t="s">
        <v>268</v>
      </c>
      <c r="D40" s="55" t="str">
        <f>'Closed Transactions'!K40</f>
        <v/>
      </c>
      <c r="E40" s="50">
        <f>'Closed Transactions'!L40</f>
        <v>0</v>
      </c>
      <c r="F40" s="59">
        <f t="shared" si="1"/>
        <v>0</v>
      </c>
      <c r="G40" s="50">
        <f t="shared" si="2"/>
        <v>0</v>
      </c>
      <c r="H40" s="50">
        <f t="shared" si="3"/>
        <v>0</v>
      </c>
      <c r="I40" s="50">
        <f t="shared" si="4"/>
        <v>0</v>
      </c>
      <c r="J40" s="58">
        <f t="shared" si="7"/>
        <v>0</v>
      </c>
      <c r="K40" s="50">
        <f t="shared" si="8"/>
        <v>0</v>
      </c>
      <c r="L40" s="50">
        <f t="shared" si="5"/>
        <v>0</v>
      </c>
      <c r="M40" s="50">
        <f t="shared" si="6"/>
        <v>0</v>
      </c>
      <c r="N40" s="58">
        <f t="shared" si="9"/>
        <v>0</v>
      </c>
      <c r="O40" s="50">
        <f t="shared" si="10"/>
        <v>0</v>
      </c>
      <c r="P40" s="607">
        <f t="shared" si="18"/>
        <v>0</v>
      </c>
      <c r="Q40" s="50">
        <f t="shared" si="11"/>
        <v>0</v>
      </c>
      <c r="R40" s="50">
        <f t="shared" si="19"/>
        <v>21583.025097920003</v>
      </c>
      <c r="S40" s="624" t="e">
        <f t="shared" si="12"/>
        <v>#VALUE!</v>
      </c>
      <c r="T40" s="625" t="e">
        <f t="shared" si="13"/>
        <v>#VALUE!</v>
      </c>
      <c r="U40" s="626" t="e">
        <f t="shared" si="14"/>
        <v>#VALUE!</v>
      </c>
      <c r="W40" t="e">
        <f t="shared" si="15"/>
        <v>#VALUE!</v>
      </c>
      <c r="X40" t="e">
        <f t="shared" si="16"/>
        <v>#VALUE!</v>
      </c>
    </row>
    <row r="41" spans="1:24" ht="14" x14ac:dyDescent="0.15">
      <c r="C41" s="47" t="s">
        <v>269</v>
      </c>
      <c r="D41" s="55" t="str">
        <f>'Closed Transactions'!K41</f>
        <v/>
      </c>
      <c r="E41" s="50">
        <f>'Closed Transactions'!L41</f>
        <v>0</v>
      </c>
      <c r="F41" s="59">
        <f t="shared" si="1"/>
        <v>0</v>
      </c>
      <c r="G41" s="50">
        <f t="shared" si="2"/>
        <v>0</v>
      </c>
      <c r="H41" s="50">
        <f t="shared" si="3"/>
        <v>0</v>
      </c>
      <c r="I41" s="50">
        <f t="shared" si="4"/>
        <v>0</v>
      </c>
      <c r="J41" s="58">
        <f t="shared" si="7"/>
        <v>0</v>
      </c>
      <c r="K41" s="50">
        <f t="shared" si="8"/>
        <v>0</v>
      </c>
      <c r="L41" s="50">
        <f t="shared" si="5"/>
        <v>0</v>
      </c>
      <c r="M41" s="50">
        <f t="shared" si="6"/>
        <v>0</v>
      </c>
      <c r="N41" s="58">
        <f t="shared" si="9"/>
        <v>0</v>
      </c>
      <c r="O41" s="50">
        <f t="shared" si="10"/>
        <v>0</v>
      </c>
      <c r="P41" s="607">
        <f t="shared" si="18"/>
        <v>0</v>
      </c>
      <c r="Q41" s="50">
        <f t="shared" si="11"/>
        <v>0</v>
      </c>
      <c r="R41" s="50">
        <f t="shared" si="19"/>
        <v>21583.025097920003</v>
      </c>
      <c r="S41" s="624" t="e">
        <f t="shared" si="12"/>
        <v>#VALUE!</v>
      </c>
      <c r="T41" s="625" t="e">
        <f t="shared" si="13"/>
        <v>#VALUE!</v>
      </c>
      <c r="U41" s="626" t="e">
        <f t="shared" si="14"/>
        <v>#VALUE!</v>
      </c>
      <c r="W41" t="e">
        <f t="shared" si="15"/>
        <v>#VALUE!</v>
      </c>
      <c r="X41" t="e">
        <f t="shared" si="16"/>
        <v>#VALUE!</v>
      </c>
    </row>
    <row r="42" spans="1:24" ht="14" x14ac:dyDescent="0.15">
      <c r="C42" s="47" t="s">
        <v>270</v>
      </c>
      <c r="D42" s="55" t="str">
        <f>'Closed Transactions'!K42</f>
        <v/>
      </c>
      <c r="E42" s="50">
        <f>'Closed Transactions'!L42</f>
        <v>0</v>
      </c>
      <c r="F42" s="59">
        <f t="shared" si="1"/>
        <v>0</v>
      </c>
      <c r="G42" s="50">
        <f t="shared" si="2"/>
        <v>0</v>
      </c>
      <c r="H42" s="50">
        <f t="shared" si="3"/>
        <v>0</v>
      </c>
      <c r="I42" s="50">
        <f t="shared" si="4"/>
        <v>0</v>
      </c>
      <c r="J42" s="58">
        <f t="shared" si="7"/>
        <v>0</v>
      </c>
      <c r="K42" s="50">
        <f t="shared" si="8"/>
        <v>0</v>
      </c>
      <c r="L42" s="50">
        <f t="shared" si="5"/>
        <v>0</v>
      </c>
      <c r="M42" s="50">
        <f t="shared" si="6"/>
        <v>0</v>
      </c>
      <c r="N42" s="58">
        <f t="shared" si="9"/>
        <v>0</v>
      </c>
      <c r="O42" s="50">
        <f t="shared" si="10"/>
        <v>0</v>
      </c>
      <c r="P42" s="607">
        <f t="shared" si="18"/>
        <v>0</v>
      </c>
      <c r="Q42" s="50">
        <f t="shared" si="11"/>
        <v>0</v>
      </c>
      <c r="R42" s="50">
        <f t="shared" si="19"/>
        <v>21583.025097920003</v>
      </c>
      <c r="S42" s="624" t="e">
        <f t="shared" si="12"/>
        <v>#VALUE!</v>
      </c>
      <c r="T42" s="625" t="e">
        <f t="shared" si="13"/>
        <v>#VALUE!</v>
      </c>
      <c r="U42" s="626" t="e">
        <f t="shared" si="14"/>
        <v>#VALUE!</v>
      </c>
      <c r="W42" t="e">
        <f t="shared" si="15"/>
        <v>#VALUE!</v>
      </c>
      <c r="X42" t="e">
        <f t="shared" si="16"/>
        <v>#VALUE!</v>
      </c>
    </row>
    <row r="43" spans="1:24" ht="14" x14ac:dyDescent="0.15">
      <c r="C43" s="47" t="s">
        <v>271</v>
      </c>
      <c r="D43" s="55" t="str">
        <f>'Closed Transactions'!K43</f>
        <v/>
      </c>
      <c r="E43" s="50">
        <f>'Closed Transactions'!L43</f>
        <v>0</v>
      </c>
      <c r="F43" s="59">
        <f t="shared" si="1"/>
        <v>0</v>
      </c>
      <c r="G43" s="50">
        <f t="shared" si="2"/>
        <v>0</v>
      </c>
      <c r="H43" s="50">
        <f t="shared" si="3"/>
        <v>0</v>
      </c>
      <c r="I43" s="50">
        <f t="shared" si="4"/>
        <v>0</v>
      </c>
      <c r="J43" s="58">
        <f t="shared" si="7"/>
        <v>0</v>
      </c>
      <c r="K43" s="50">
        <f t="shared" si="8"/>
        <v>0</v>
      </c>
      <c r="L43" s="50">
        <f t="shared" si="5"/>
        <v>0</v>
      </c>
      <c r="M43" s="50">
        <f t="shared" si="6"/>
        <v>0</v>
      </c>
      <c r="N43" s="58">
        <f t="shared" si="9"/>
        <v>0</v>
      </c>
      <c r="O43" s="50">
        <f t="shared" si="10"/>
        <v>0</v>
      </c>
      <c r="P43" s="607">
        <f t="shared" si="18"/>
        <v>0</v>
      </c>
      <c r="Q43" s="50">
        <f t="shared" si="11"/>
        <v>0</v>
      </c>
      <c r="R43" s="50">
        <f t="shared" si="19"/>
        <v>21583.025097920003</v>
      </c>
      <c r="S43" s="624" t="e">
        <f t="shared" si="12"/>
        <v>#VALUE!</v>
      </c>
      <c r="T43" s="625" t="e">
        <f t="shared" si="13"/>
        <v>#VALUE!</v>
      </c>
      <c r="U43" s="626" t="e">
        <f t="shared" si="14"/>
        <v>#VALUE!</v>
      </c>
      <c r="W43" t="e">
        <f t="shared" si="15"/>
        <v>#VALUE!</v>
      </c>
      <c r="X43" t="e">
        <f t="shared" si="16"/>
        <v>#VALUE!</v>
      </c>
    </row>
    <row r="44" spans="1:24" ht="14" x14ac:dyDescent="0.15">
      <c r="C44" s="47" t="s">
        <v>272</v>
      </c>
      <c r="D44" s="55" t="str">
        <f>'Closed Transactions'!K44</f>
        <v/>
      </c>
      <c r="E44" s="50">
        <f>'Closed Transactions'!L44</f>
        <v>0</v>
      </c>
      <c r="F44" s="59">
        <f t="shared" si="1"/>
        <v>0</v>
      </c>
      <c r="G44" s="50">
        <f t="shared" si="2"/>
        <v>0</v>
      </c>
      <c r="H44" s="50">
        <f t="shared" si="3"/>
        <v>0</v>
      </c>
      <c r="I44" s="50">
        <f t="shared" si="4"/>
        <v>0</v>
      </c>
      <c r="J44" s="58">
        <f t="shared" si="7"/>
        <v>0</v>
      </c>
      <c r="K44" s="50">
        <f t="shared" si="8"/>
        <v>0</v>
      </c>
      <c r="L44" s="50">
        <f t="shared" si="5"/>
        <v>0</v>
      </c>
      <c r="M44" s="50">
        <f t="shared" si="6"/>
        <v>0</v>
      </c>
      <c r="N44" s="58">
        <f t="shared" si="9"/>
        <v>0</v>
      </c>
      <c r="O44" s="50">
        <f t="shared" si="10"/>
        <v>0</v>
      </c>
      <c r="P44" s="607">
        <f t="shared" si="18"/>
        <v>0</v>
      </c>
      <c r="Q44" s="50">
        <f t="shared" si="11"/>
        <v>0</v>
      </c>
      <c r="R44" s="50">
        <f t="shared" si="19"/>
        <v>21583.025097920003</v>
      </c>
      <c r="S44" s="624" t="e">
        <f t="shared" si="12"/>
        <v>#VALUE!</v>
      </c>
      <c r="T44" s="625" t="e">
        <f t="shared" si="13"/>
        <v>#VALUE!</v>
      </c>
      <c r="U44" s="626" t="e">
        <f t="shared" si="14"/>
        <v>#VALUE!</v>
      </c>
      <c r="W44" t="e">
        <f t="shared" si="15"/>
        <v>#VALUE!</v>
      </c>
      <c r="X44" t="e">
        <f t="shared" si="16"/>
        <v>#VALUE!</v>
      </c>
    </row>
    <row r="45" spans="1:24" ht="14" x14ac:dyDescent="0.15">
      <c r="C45" s="47" t="s">
        <v>273</v>
      </c>
      <c r="D45" s="55" t="str">
        <f>'Closed Transactions'!K45</f>
        <v/>
      </c>
      <c r="E45" s="50">
        <f>'Closed Transactions'!L45</f>
        <v>0</v>
      </c>
      <c r="F45" s="59">
        <f t="shared" si="1"/>
        <v>0</v>
      </c>
      <c r="G45" s="50">
        <f t="shared" si="2"/>
        <v>0</v>
      </c>
      <c r="H45" s="50">
        <f t="shared" si="3"/>
        <v>0</v>
      </c>
      <c r="I45" s="50">
        <f t="shared" si="4"/>
        <v>0</v>
      </c>
      <c r="J45" s="58">
        <f t="shared" si="7"/>
        <v>0</v>
      </c>
      <c r="K45" s="50">
        <f t="shared" si="8"/>
        <v>0</v>
      </c>
      <c r="L45" s="50">
        <f t="shared" si="5"/>
        <v>0</v>
      </c>
      <c r="M45" s="50">
        <f t="shared" si="6"/>
        <v>0</v>
      </c>
      <c r="N45" s="58">
        <f t="shared" si="9"/>
        <v>0</v>
      </c>
      <c r="O45" s="50">
        <f t="shared" si="10"/>
        <v>0</v>
      </c>
      <c r="P45" s="607">
        <f t="shared" si="18"/>
        <v>0</v>
      </c>
      <c r="Q45" s="50">
        <f t="shared" si="11"/>
        <v>0</v>
      </c>
      <c r="R45" s="50">
        <f t="shared" si="19"/>
        <v>21583.025097920003</v>
      </c>
      <c r="S45" s="624" t="e">
        <f t="shared" si="12"/>
        <v>#VALUE!</v>
      </c>
      <c r="T45" s="625" t="e">
        <f t="shared" si="13"/>
        <v>#VALUE!</v>
      </c>
      <c r="U45" s="626" t="e">
        <f t="shared" si="14"/>
        <v>#VALUE!</v>
      </c>
      <c r="W45" t="e">
        <f t="shared" si="15"/>
        <v>#VALUE!</v>
      </c>
      <c r="X45" t="e">
        <f t="shared" si="16"/>
        <v>#VALUE!</v>
      </c>
    </row>
    <row r="46" spans="1:24" ht="14" x14ac:dyDescent="0.15">
      <c r="C46" s="47" t="s">
        <v>274</v>
      </c>
      <c r="D46" s="55" t="str">
        <f>'Closed Transactions'!K46</f>
        <v/>
      </c>
      <c r="E46" s="50">
        <f>'Closed Transactions'!L46</f>
        <v>0</v>
      </c>
      <c r="F46" s="59">
        <f t="shared" si="1"/>
        <v>0</v>
      </c>
      <c r="G46" s="50">
        <f t="shared" si="2"/>
        <v>0</v>
      </c>
      <c r="H46" s="50">
        <f t="shared" si="3"/>
        <v>0</v>
      </c>
      <c r="I46" s="50">
        <f t="shared" si="4"/>
        <v>0</v>
      </c>
      <c r="J46" s="58">
        <f t="shared" si="7"/>
        <v>0</v>
      </c>
      <c r="K46" s="50">
        <f t="shared" si="8"/>
        <v>0</v>
      </c>
      <c r="L46" s="50">
        <f t="shared" si="5"/>
        <v>0</v>
      </c>
      <c r="M46" s="50">
        <f t="shared" si="6"/>
        <v>0</v>
      </c>
      <c r="N46" s="58">
        <f t="shared" si="9"/>
        <v>0</v>
      </c>
      <c r="O46" s="50">
        <f t="shared" si="10"/>
        <v>0</v>
      </c>
      <c r="P46" s="607">
        <f t="shared" si="18"/>
        <v>0</v>
      </c>
      <c r="Q46" s="50">
        <f t="shared" si="11"/>
        <v>0</v>
      </c>
      <c r="R46" s="50">
        <f t="shared" si="19"/>
        <v>21583.025097920003</v>
      </c>
      <c r="S46" s="624" t="e">
        <f t="shared" si="12"/>
        <v>#VALUE!</v>
      </c>
      <c r="T46" s="625" t="e">
        <f t="shared" si="13"/>
        <v>#VALUE!</v>
      </c>
      <c r="U46" s="626" t="e">
        <f t="shared" si="14"/>
        <v>#VALUE!</v>
      </c>
      <c r="W46" t="e">
        <f t="shared" si="15"/>
        <v>#VALUE!</v>
      </c>
      <c r="X46" t="e">
        <f t="shared" si="16"/>
        <v>#VALUE!</v>
      </c>
    </row>
    <row r="47" spans="1:24" ht="14" x14ac:dyDescent="0.15">
      <c r="C47" s="47" t="s">
        <v>275</v>
      </c>
      <c r="D47" s="55" t="str">
        <f>'Closed Transactions'!K47</f>
        <v/>
      </c>
      <c r="E47" s="50">
        <f>'Closed Transactions'!L47</f>
        <v>0</v>
      </c>
      <c r="F47" s="59">
        <f t="shared" si="1"/>
        <v>0</v>
      </c>
      <c r="G47" s="50">
        <f t="shared" si="2"/>
        <v>0</v>
      </c>
      <c r="H47" s="50">
        <f t="shared" si="3"/>
        <v>0</v>
      </c>
      <c r="I47" s="50">
        <f t="shared" si="4"/>
        <v>0</v>
      </c>
      <c r="J47" s="58">
        <f t="shared" si="7"/>
        <v>0</v>
      </c>
      <c r="K47" s="50">
        <f t="shared" si="8"/>
        <v>0</v>
      </c>
      <c r="L47" s="50">
        <f t="shared" si="5"/>
        <v>0</v>
      </c>
      <c r="M47" s="50">
        <f t="shared" si="6"/>
        <v>0</v>
      </c>
      <c r="N47" s="58">
        <f t="shared" si="9"/>
        <v>0</v>
      </c>
      <c r="O47" s="50">
        <f t="shared" si="10"/>
        <v>0</v>
      </c>
      <c r="P47" s="607">
        <f t="shared" si="18"/>
        <v>0</v>
      </c>
      <c r="Q47" s="50">
        <f t="shared" si="11"/>
        <v>0</v>
      </c>
      <c r="R47" s="50">
        <f t="shared" si="19"/>
        <v>21583.025097920003</v>
      </c>
      <c r="S47" s="624" t="e">
        <f t="shared" si="12"/>
        <v>#VALUE!</v>
      </c>
      <c r="T47" s="625" t="e">
        <f t="shared" si="13"/>
        <v>#VALUE!</v>
      </c>
      <c r="U47" s="626" t="e">
        <f t="shared" si="14"/>
        <v>#VALUE!</v>
      </c>
      <c r="W47" t="e">
        <f t="shared" si="15"/>
        <v>#VALUE!</v>
      </c>
      <c r="X47" t="e">
        <f t="shared" si="16"/>
        <v>#VALUE!</v>
      </c>
    </row>
    <row r="48" spans="1:24" ht="14" x14ac:dyDescent="0.15">
      <c r="C48" s="47" t="s">
        <v>276</v>
      </c>
      <c r="D48" s="55" t="str">
        <f>'Closed Transactions'!K48</f>
        <v/>
      </c>
      <c r="E48" s="50">
        <f>'Closed Transactions'!L48</f>
        <v>0</v>
      </c>
      <c r="F48" s="59">
        <f t="shared" si="1"/>
        <v>0</v>
      </c>
      <c r="G48" s="50">
        <f t="shared" si="2"/>
        <v>0</v>
      </c>
      <c r="H48" s="50">
        <f t="shared" si="3"/>
        <v>0</v>
      </c>
      <c r="I48" s="50">
        <f t="shared" si="4"/>
        <v>0</v>
      </c>
      <c r="J48" s="58">
        <f t="shared" si="7"/>
        <v>0</v>
      </c>
      <c r="K48" s="50">
        <f t="shared" si="8"/>
        <v>0</v>
      </c>
      <c r="L48" s="50">
        <f t="shared" si="5"/>
        <v>0</v>
      </c>
      <c r="M48" s="50">
        <f t="shared" si="6"/>
        <v>0</v>
      </c>
      <c r="N48" s="58">
        <f t="shared" si="9"/>
        <v>0</v>
      </c>
      <c r="O48" s="50">
        <f t="shared" si="10"/>
        <v>0</v>
      </c>
      <c r="P48" s="607">
        <f t="shared" si="18"/>
        <v>0</v>
      </c>
      <c r="Q48" s="50">
        <f t="shared" si="11"/>
        <v>0</v>
      </c>
      <c r="R48" s="50">
        <f t="shared" si="19"/>
        <v>21583.025097920003</v>
      </c>
      <c r="S48" s="624" t="e">
        <f t="shared" si="12"/>
        <v>#VALUE!</v>
      </c>
      <c r="T48" s="625" t="e">
        <f t="shared" si="13"/>
        <v>#VALUE!</v>
      </c>
      <c r="U48" s="626" t="e">
        <f t="shared" si="14"/>
        <v>#VALUE!</v>
      </c>
      <c r="W48" t="e">
        <f t="shared" si="15"/>
        <v>#VALUE!</v>
      </c>
      <c r="X48" t="e">
        <f t="shared" si="16"/>
        <v>#VALUE!</v>
      </c>
    </row>
    <row r="49" spans="3:24" ht="14" x14ac:dyDescent="0.15">
      <c r="C49" s="47" t="s">
        <v>277</v>
      </c>
      <c r="D49" s="55" t="str">
        <f>'Closed Transactions'!K49</f>
        <v/>
      </c>
      <c r="E49" s="50">
        <f>'Closed Transactions'!L49</f>
        <v>0</v>
      </c>
      <c r="F49" s="59">
        <f t="shared" si="1"/>
        <v>0</v>
      </c>
      <c r="G49" s="50">
        <f t="shared" si="2"/>
        <v>0</v>
      </c>
      <c r="H49" s="50">
        <f t="shared" si="3"/>
        <v>0</v>
      </c>
      <c r="I49" s="50">
        <f t="shared" si="4"/>
        <v>0</v>
      </c>
      <c r="J49" s="58">
        <f t="shared" si="7"/>
        <v>0</v>
      </c>
      <c r="K49" s="50">
        <f t="shared" si="8"/>
        <v>0</v>
      </c>
      <c r="L49" s="50">
        <f t="shared" si="5"/>
        <v>0</v>
      </c>
      <c r="M49" s="50">
        <f t="shared" si="6"/>
        <v>0</v>
      </c>
      <c r="N49" s="58">
        <f t="shared" si="9"/>
        <v>0</v>
      </c>
      <c r="O49" s="50">
        <f t="shared" si="10"/>
        <v>0</v>
      </c>
      <c r="P49" s="607">
        <f t="shared" si="18"/>
        <v>0</v>
      </c>
      <c r="Q49" s="50">
        <f t="shared" si="11"/>
        <v>0</v>
      </c>
      <c r="R49" s="50">
        <f t="shared" si="19"/>
        <v>21583.025097920003</v>
      </c>
      <c r="S49" s="624" t="e">
        <f t="shared" si="12"/>
        <v>#VALUE!</v>
      </c>
      <c r="T49" s="625" t="e">
        <f t="shared" si="13"/>
        <v>#VALUE!</v>
      </c>
      <c r="U49" s="626" t="e">
        <f t="shared" si="14"/>
        <v>#VALUE!</v>
      </c>
      <c r="W49" t="e">
        <f t="shared" si="15"/>
        <v>#VALUE!</v>
      </c>
      <c r="X49" t="e">
        <f t="shared" si="16"/>
        <v>#VALUE!</v>
      </c>
    </row>
    <row r="50" spans="3:24" ht="14" x14ac:dyDescent="0.15">
      <c r="C50" s="47" t="s">
        <v>278</v>
      </c>
      <c r="D50" s="55" t="str">
        <f>'Closed Transactions'!K50</f>
        <v/>
      </c>
      <c r="E50" s="50">
        <f>'Closed Transactions'!L50</f>
        <v>0</v>
      </c>
      <c r="F50" s="59">
        <f t="shared" si="1"/>
        <v>0</v>
      </c>
      <c r="G50" s="50">
        <f t="shared" si="2"/>
        <v>0</v>
      </c>
      <c r="H50" s="50">
        <f t="shared" si="3"/>
        <v>0</v>
      </c>
      <c r="I50" s="50">
        <f t="shared" si="4"/>
        <v>0</v>
      </c>
      <c r="J50" s="58">
        <f t="shared" si="7"/>
        <v>0</v>
      </c>
      <c r="K50" s="50">
        <f t="shared" si="8"/>
        <v>0</v>
      </c>
      <c r="L50" s="50">
        <f t="shared" si="5"/>
        <v>0</v>
      </c>
      <c r="M50" s="50">
        <f t="shared" si="6"/>
        <v>0</v>
      </c>
      <c r="N50" s="58">
        <f t="shared" si="9"/>
        <v>0</v>
      </c>
      <c r="O50" s="50">
        <f t="shared" si="10"/>
        <v>0</v>
      </c>
      <c r="P50" s="607">
        <f t="shared" si="18"/>
        <v>0</v>
      </c>
      <c r="Q50" s="50">
        <f t="shared" si="11"/>
        <v>0</v>
      </c>
      <c r="R50" s="50">
        <f t="shared" si="19"/>
        <v>21583.025097920003</v>
      </c>
      <c r="S50" s="624" t="e">
        <f t="shared" si="12"/>
        <v>#VALUE!</v>
      </c>
      <c r="T50" s="625" t="e">
        <f t="shared" si="13"/>
        <v>#VALUE!</v>
      </c>
      <c r="U50" s="626" t="e">
        <f t="shared" si="14"/>
        <v>#VALUE!</v>
      </c>
      <c r="W50" t="e">
        <f t="shared" si="15"/>
        <v>#VALUE!</v>
      </c>
      <c r="X50" t="e">
        <f t="shared" si="16"/>
        <v>#VALUE!</v>
      </c>
    </row>
    <row r="51" spans="3:24" ht="14" x14ac:dyDescent="0.15">
      <c r="C51" s="47" t="s">
        <v>279</v>
      </c>
      <c r="D51" s="55" t="str">
        <f>'Closed Transactions'!K51</f>
        <v/>
      </c>
      <c r="E51" s="50">
        <f>'Closed Transactions'!L51</f>
        <v>0</v>
      </c>
      <c r="F51" s="59">
        <f t="shared" si="1"/>
        <v>0</v>
      </c>
      <c r="G51" s="50">
        <f t="shared" si="2"/>
        <v>0</v>
      </c>
      <c r="H51" s="50">
        <f t="shared" si="3"/>
        <v>0</v>
      </c>
      <c r="I51" s="50">
        <f t="shared" si="4"/>
        <v>0</v>
      </c>
      <c r="J51" s="58">
        <f t="shared" si="7"/>
        <v>0</v>
      </c>
      <c r="K51" s="50">
        <f t="shared" si="8"/>
        <v>0</v>
      </c>
      <c r="L51" s="50">
        <f t="shared" si="5"/>
        <v>0</v>
      </c>
      <c r="M51" s="50">
        <f t="shared" si="6"/>
        <v>0</v>
      </c>
      <c r="N51" s="58">
        <f t="shared" si="9"/>
        <v>0</v>
      </c>
      <c r="O51" s="50">
        <f t="shared" si="10"/>
        <v>0</v>
      </c>
      <c r="P51" s="607">
        <f t="shared" si="18"/>
        <v>0</v>
      </c>
      <c r="Q51" s="50">
        <f t="shared" si="11"/>
        <v>0</v>
      </c>
      <c r="R51" s="50">
        <f t="shared" si="19"/>
        <v>21583.025097920003</v>
      </c>
      <c r="S51" s="624" t="e">
        <f t="shared" si="12"/>
        <v>#VALUE!</v>
      </c>
      <c r="T51" s="625" t="e">
        <f t="shared" si="13"/>
        <v>#VALUE!</v>
      </c>
      <c r="U51" s="626" t="e">
        <f t="shared" si="14"/>
        <v>#VALUE!</v>
      </c>
      <c r="W51" t="e">
        <f t="shared" si="15"/>
        <v>#VALUE!</v>
      </c>
      <c r="X51" t="e">
        <f t="shared" si="16"/>
        <v>#VALUE!</v>
      </c>
    </row>
    <row r="52" spans="3:24" ht="14" x14ac:dyDescent="0.15">
      <c r="C52" s="47" t="s">
        <v>280</v>
      </c>
      <c r="D52" s="55" t="str">
        <f>'Closed Transactions'!K52</f>
        <v/>
      </c>
      <c r="E52" s="50">
        <f>'Closed Transactions'!L52</f>
        <v>0</v>
      </c>
      <c r="F52" s="59">
        <f t="shared" si="1"/>
        <v>0</v>
      </c>
      <c r="G52" s="50">
        <f t="shared" si="2"/>
        <v>0</v>
      </c>
      <c r="H52" s="50">
        <f t="shared" si="3"/>
        <v>0</v>
      </c>
      <c r="I52" s="50">
        <f t="shared" si="4"/>
        <v>0</v>
      </c>
      <c r="J52" s="58">
        <f t="shared" si="7"/>
        <v>0</v>
      </c>
      <c r="K52" s="50">
        <f t="shared" si="8"/>
        <v>0</v>
      </c>
      <c r="L52" s="50">
        <f t="shared" si="5"/>
        <v>0</v>
      </c>
      <c r="M52" s="50">
        <f t="shared" si="6"/>
        <v>0</v>
      </c>
      <c r="N52" s="58">
        <f t="shared" si="9"/>
        <v>0</v>
      </c>
      <c r="O52" s="50">
        <f t="shared" si="10"/>
        <v>0</v>
      </c>
      <c r="P52" s="607">
        <f t="shared" si="18"/>
        <v>0</v>
      </c>
      <c r="Q52" s="50">
        <f t="shared" si="11"/>
        <v>0</v>
      </c>
      <c r="R52" s="50">
        <f t="shared" si="19"/>
        <v>21583.025097920003</v>
      </c>
      <c r="S52" s="624" t="e">
        <f t="shared" si="12"/>
        <v>#VALUE!</v>
      </c>
      <c r="T52" s="625" t="e">
        <f t="shared" si="13"/>
        <v>#VALUE!</v>
      </c>
      <c r="U52" s="626" t="e">
        <f t="shared" si="14"/>
        <v>#VALUE!</v>
      </c>
      <c r="W52" t="e">
        <f t="shared" si="15"/>
        <v>#VALUE!</v>
      </c>
      <c r="X52" t="e">
        <f t="shared" si="16"/>
        <v>#VALUE!</v>
      </c>
    </row>
    <row r="53" spans="3:24" ht="14" x14ac:dyDescent="0.15">
      <c r="C53" s="47" t="s">
        <v>281</v>
      </c>
      <c r="D53" s="55" t="str">
        <f>'Closed Transactions'!K53</f>
        <v/>
      </c>
      <c r="E53" s="50">
        <f>'Closed Transactions'!L53</f>
        <v>0</v>
      </c>
      <c r="F53" s="59">
        <f t="shared" si="1"/>
        <v>0</v>
      </c>
      <c r="G53" s="50">
        <f t="shared" si="2"/>
        <v>0</v>
      </c>
      <c r="H53" s="50">
        <f t="shared" si="3"/>
        <v>0</v>
      </c>
      <c r="I53" s="50">
        <f t="shared" si="4"/>
        <v>0</v>
      </c>
      <c r="J53" s="58">
        <f t="shared" si="7"/>
        <v>0</v>
      </c>
      <c r="K53" s="50">
        <f t="shared" si="8"/>
        <v>0</v>
      </c>
      <c r="L53" s="50">
        <f t="shared" si="5"/>
        <v>0</v>
      </c>
      <c r="M53" s="50">
        <f t="shared" si="6"/>
        <v>0</v>
      </c>
      <c r="N53" s="58">
        <f t="shared" si="9"/>
        <v>0</v>
      </c>
      <c r="O53" s="50">
        <f t="shared" si="10"/>
        <v>0</v>
      </c>
      <c r="P53" s="607">
        <f t="shared" si="18"/>
        <v>0</v>
      </c>
      <c r="Q53" s="50">
        <f t="shared" si="11"/>
        <v>0</v>
      </c>
      <c r="R53" s="50">
        <f t="shared" si="19"/>
        <v>21583.025097920003</v>
      </c>
      <c r="S53" s="624" t="e">
        <f t="shared" si="12"/>
        <v>#VALUE!</v>
      </c>
      <c r="T53" s="625" t="e">
        <f t="shared" si="13"/>
        <v>#VALUE!</v>
      </c>
      <c r="U53" s="626" t="e">
        <f t="shared" si="14"/>
        <v>#VALUE!</v>
      </c>
      <c r="W53" t="e">
        <f t="shared" si="15"/>
        <v>#VALUE!</v>
      </c>
      <c r="X53" t="e">
        <f t="shared" si="16"/>
        <v>#VALUE!</v>
      </c>
    </row>
    <row r="54" spans="3:24" ht="14" x14ac:dyDescent="0.15">
      <c r="C54" s="47" t="s">
        <v>282</v>
      </c>
      <c r="D54" s="55" t="str">
        <f>'Closed Transactions'!K54</f>
        <v/>
      </c>
      <c r="E54" s="50">
        <f>'Closed Transactions'!L54</f>
        <v>0</v>
      </c>
      <c r="F54" s="59">
        <f t="shared" si="1"/>
        <v>0</v>
      </c>
      <c r="G54" s="50">
        <f t="shared" si="2"/>
        <v>0</v>
      </c>
      <c r="H54" s="50">
        <f t="shared" si="3"/>
        <v>0</v>
      </c>
      <c r="I54" s="50">
        <f t="shared" si="4"/>
        <v>0</v>
      </c>
      <c r="J54" s="58">
        <f t="shared" si="7"/>
        <v>0</v>
      </c>
      <c r="K54" s="50">
        <f t="shared" si="8"/>
        <v>0</v>
      </c>
      <c r="L54" s="50">
        <f t="shared" si="5"/>
        <v>0</v>
      </c>
      <c r="M54" s="50">
        <f t="shared" si="6"/>
        <v>0</v>
      </c>
      <c r="N54" s="58">
        <f t="shared" si="9"/>
        <v>0</v>
      </c>
      <c r="O54" s="50">
        <f t="shared" si="10"/>
        <v>0</v>
      </c>
      <c r="P54" s="607">
        <f t="shared" si="18"/>
        <v>0</v>
      </c>
      <c r="Q54" s="50">
        <f t="shared" si="11"/>
        <v>0</v>
      </c>
      <c r="R54" s="50">
        <f t="shared" si="19"/>
        <v>21583.025097920003</v>
      </c>
      <c r="S54" s="624" t="e">
        <f t="shared" si="12"/>
        <v>#VALUE!</v>
      </c>
      <c r="T54" s="625" t="e">
        <f t="shared" si="13"/>
        <v>#VALUE!</v>
      </c>
      <c r="U54" s="626" t="e">
        <f t="shared" si="14"/>
        <v>#VALUE!</v>
      </c>
      <c r="W54" t="e">
        <f t="shared" si="15"/>
        <v>#VALUE!</v>
      </c>
      <c r="X54" t="e">
        <f t="shared" si="16"/>
        <v>#VALUE!</v>
      </c>
    </row>
    <row r="55" spans="3:24" ht="14" x14ac:dyDescent="0.15">
      <c r="C55" s="47" t="s">
        <v>283</v>
      </c>
      <c r="D55" s="55" t="str">
        <f>'Closed Transactions'!K55</f>
        <v/>
      </c>
      <c r="E55" s="50">
        <f>'Closed Transactions'!L55</f>
        <v>0</v>
      </c>
      <c r="F55" s="59">
        <f t="shared" si="1"/>
        <v>0</v>
      </c>
      <c r="G55" s="50">
        <f t="shared" si="2"/>
        <v>0</v>
      </c>
      <c r="H55" s="50">
        <f t="shared" si="3"/>
        <v>0</v>
      </c>
      <c r="I55" s="50">
        <f t="shared" si="4"/>
        <v>0</v>
      </c>
      <c r="J55" s="58">
        <f t="shared" si="7"/>
        <v>0</v>
      </c>
      <c r="K55" s="50">
        <f t="shared" si="8"/>
        <v>0</v>
      </c>
      <c r="L55" s="50">
        <f t="shared" si="5"/>
        <v>0</v>
      </c>
      <c r="M55" s="50">
        <f t="shared" si="6"/>
        <v>0</v>
      </c>
      <c r="N55" s="58">
        <f t="shared" si="9"/>
        <v>0</v>
      </c>
      <c r="O55" s="50">
        <f t="shared" si="10"/>
        <v>0</v>
      </c>
      <c r="P55" s="607">
        <f t="shared" si="18"/>
        <v>0</v>
      </c>
      <c r="Q55" s="50">
        <f t="shared" si="11"/>
        <v>0</v>
      </c>
      <c r="R55" s="50">
        <f t="shared" si="19"/>
        <v>21583.025097920003</v>
      </c>
      <c r="S55" s="624" t="e">
        <f t="shared" si="12"/>
        <v>#VALUE!</v>
      </c>
      <c r="T55" s="625" t="e">
        <f t="shared" si="13"/>
        <v>#VALUE!</v>
      </c>
      <c r="U55" s="626" t="e">
        <f t="shared" si="14"/>
        <v>#VALUE!</v>
      </c>
      <c r="W55" t="e">
        <f t="shared" si="15"/>
        <v>#VALUE!</v>
      </c>
      <c r="X55" t="e">
        <f t="shared" si="16"/>
        <v>#VALUE!</v>
      </c>
    </row>
    <row r="56" spans="3:24" ht="14" x14ac:dyDescent="0.15">
      <c r="C56" s="47" t="s">
        <v>284</v>
      </c>
      <c r="D56" s="55" t="str">
        <f>'Closed Transactions'!K56</f>
        <v/>
      </c>
      <c r="E56" s="50">
        <f>'Closed Transactions'!L56</f>
        <v>0</v>
      </c>
      <c r="F56" s="59">
        <f t="shared" si="1"/>
        <v>0</v>
      </c>
      <c r="G56" s="50">
        <f t="shared" si="2"/>
        <v>0</v>
      </c>
      <c r="H56" s="50">
        <f t="shared" si="3"/>
        <v>0</v>
      </c>
      <c r="I56" s="50">
        <f t="shared" si="4"/>
        <v>0</v>
      </c>
      <c r="J56" s="58">
        <f t="shared" si="7"/>
        <v>0</v>
      </c>
      <c r="K56" s="50">
        <f t="shared" si="8"/>
        <v>0</v>
      </c>
      <c r="L56" s="50">
        <f t="shared" si="5"/>
        <v>0</v>
      </c>
      <c r="M56" s="50">
        <f t="shared" si="6"/>
        <v>0</v>
      </c>
      <c r="N56" s="58">
        <f t="shared" si="9"/>
        <v>0</v>
      </c>
      <c r="O56" s="50">
        <f t="shared" si="10"/>
        <v>0</v>
      </c>
      <c r="P56" s="607">
        <f t="shared" si="18"/>
        <v>0</v>
      </c>
      <c r="Q56" s="50">
        <f t="shared" si="11"/>
        <v>0</v>
      </c>
      <c r="R56" s="50">
        <f t="shared" si="19"/>
        <v>21583.025097920003</v>
      </c>
      <c r="S56" s="624" t="e">
        <f t="shared" si="12"/>
        <v>#VALUE!</v>
      </c>
      <c r="T56" s="625" t="e">
        <f t="shared" si="13"/>
        <v>#VALUE!</v>
      </c>
      <c r="U56" s="626" t="e">
        <f t="shared" si="14"/>
        <v>#VALUE!</v>
      </c>
      <c r="W56" t="e">
        <f t="shared" si="15"/>
        <v>#VALUE!</v>
      </c>
      <c r="X56" t="e">
        <f t="shared" si="16"/>
        <v>#VALUE!</v>
      </c>
    </row>
    <row r="57" spans="3:24" ht="14" x14ac:dyDescent="0.15">
      <c r="C57" s="47" t="s">
        <v>285</v>
      </c>
      <c r="D57" s="55" t="str">
        <f>'Closed Transactions'!K57</f>
        <v/>
      </c>
      <c r="E57" s="50">
        <f>'Closed Transactions'!L57</f>
        <v>0</v>
      </c>
      <c r="F57" s="59">
        <f t="shared" si="1"/>
        <v>0</v>
      </c>
      <c r="G57" s="50">
        <f t="shared" si="2"/>
        <v>0</v>
      </c>
      <c r="H57" s="50">
        <f t="shared" si="3"/>
        <v>0</v>
      </c>
      <c r="I57" s="50">
        <f t="shared" si="4"/>
        <v>0</v>
      </c>
      <c r="J57" s="58">
        <f t="shared" si="7"/>
        <v>0</v>
      </c>
      <c r="K57" s="50">
        <f t="shared" si="8"/>
        <v>0</v>
      </c>
      <c r="L57" s="50">
        <f t="shared" si="5"/>
        <v>0</v>
      </c>
      <c r="M57" s="50">
        <f t="shared" si="6"/>
        <v>0</v>
      </c>
      <c r="N57" s="58">
        <f t="shared" si="9"/>
        <v>0</v>
      </c>
      <c r="O57" s="50">
        <f t="shared" si="10"/>
        <v>0</v>
      </c>
      <c r="P57" s="607">
        <f t="shared" si="18"/>
        <v>0</v>
      </c>
      <c r="Q57" s="50">
        <f t="shared" si="11"/>
        <v>0</v>
      </c>
      <c r="R57" s="50">
        <f t="shared" si="19"/>
        <v>21583.025097920003</v>
      </c>
      <c r="S57" s="624" t="e">
        <f t="shared" si="12"/>
        <v>#VALUE!</v>
      </c>
      <c r="T57" s="625" t="e">
        <f t="shared" si="13"/>
        <v>#VALUE!</v>
      </c>
      <c r="U57" s="626" t="e">
        <f t="shared" si="14"/>
        <v>#VALUE!</v>
      </c>
      <c r="W57" t="e">
        <f t="shared" si="15"/>
        <v>#VALUE!</v>
      </c>
      <c r="X57" t="e">
        <f t="shared" si="16"/>
        <v>#VALUE!</v>
      </c>
    </row>
    <row r="58" spans="3:24" ht="14" x14ac:dyDescent="0.15">
      <c r="C58" s="47" t="s">
        <v>286</v>
      </c>
      <c r="D58" s="55" t="str">
        <f>'Closed Transactions'!K58</f>
        <v/>
      </c>
      <c r="E58" s="50">
        <f>'Closed Transactions'!L58</f>
        <v>0</v>
      </c>
      <c r="F58" s="59">
        <f t="shared" si="1"/>
        <v>0</v>
      </c>
      <c r="G58" s="50">
        <f t="shared" si="2"/>
        <v>0</v>
      </c>
      <c r="H58" s="50">
        <f t="shared" si="3"/>
        <v>0</v>
      </c>
      <c r="I58" s="50">
        <f t="shared" si="4"/>
        <v>0</v>
      </c>
      <c r="J58" s="58">
        <f t="shared" si="7"/>
        <v>0</v>
      </c>
      <c r="K58" s="50">
        <f t="shared" si="8"/>
        <v>0</v>
      </c>
      <c r="L58" s="50">
        <f t="shared" si="5"/>
        <v>0</v>
      </c>
      <c r="M58" s="50">
        <f t="shared" si="6"/>
        <v>0</v>
      </c>
      <c r="N58" s="58">
        <f t="shared" si="9"/>
        <v>0</v>
      </c>
      <c r="O58" s="50">
        <f t="shared" si="10"/>
        <v>0</v>
      </c>
      <c r="P58" s="607">
        <f t="shared" si="18"/>
        <v>0</v>
      </c>
      <c r="Q58" s="50">
        <f t="shared" si="11"/>
        <v>0</v>
      </c>
      <c r="R58" s="50">
        <f t="shared" si="19"/>
        <v>21583.025097920003</v>
      </c>
      <c r="S58" s="624" t="e">
        <f t="shared" si="12"/>
        <v>#VALUE!</v>
      </c>
      <c r="T58" s="625" t="e">
        <f t="shared" si="13"/>
        <v>#VALUE!</v>
      </c>
      <c r="U58" s="626" t="e">
        <f t="shared" si="14"/>
        <v>#VALUE!</v>
      </c>
      <c r="W58" t="e">
        <f t="shared" si="15"/>
        <v>#VALUE!</v>
      </c>
      <c r="X58" t="e">
        <f t="shared" si="16"/>
        <v>#VALUE!</v>
      </c>
    </row>
    <row r="59" spans="3:24" ht="14" x14ac:dyDescent="0.15">
      <c r="C59" s="47" t="s">
        <v>287</v>
      </c>
      <c r="D59" s="55" t="str">
        <f>'Closed Transactions'!K59</f>
        <v/>
      </c>
      <c r="E59" s="50">
        <f>'Closed Transactions'!L59</f>
        <v>0</v>
      </c>
      <c r="F59" s="59">
        <f t="shared" si="1"/>
        <v>0</v>
      </c>
      <c r="G59" s="50">
        <f t="shared" si="2"/>
        <v>0</v>
      </c>
      <c r="H59" s="50">
        <f t="shared" si="3"/>
        <v>0</v>
      </c>
      <c r="I59" s="50">
        <f t="shared" si="4"/>
        <v>0</v>
      </c>
      <c r="J59" s="58">
        <f t="shared" si="7"/>
        <v>0</v>
      </c>
      <c r="K59" s="50">
        <f t="shared" si="8"/>
        <v>0</v>
      </c>
      <c r="L59" s="50">
        <f t="shared" si="5"/>
        <v>0</v>
      </c>
      <c r="M59" s="50">
        <f t="shared" si="6"/>
        <v>0</v>
      </c>
      <c r="N59" s="58">
        <f t="shared" si="9"/>
        <v>0</v>
      </c>
      <c r="O59" s="50">
        <f t="shared" si="10"/>
        <v>0</v>
      </c>
      <c r="P59" s="607">
        <f t="shared" si="18"/>
        <v>0</v>
      </c>
      <c r="Q59" s="50">
        <f t="shared" si="11"/>
        <v>0</v>
      </c>
      <c r="R59" s="50">
        <f t="shared" si="19"/>
        <v>21583.025097920003</v>
      </c>
      <c r="S59" s="624" t="e">
        <f t="shared" si="12"/>
        <v>#VALUE!</v>
      </c>
      <c r="T59" s="625" t="e">
        <f t="shared" si="13"/>
        <v>#VALUE!</v>
      </c>
      <c r="U59" s="626" t="e">
        <f t="shared" si="14"/>
        <v>#VALUE!</v>
      </c>
      <c r="W59" t="e">
        <f t="shared" si="15"/>
        <v>#VALUE!</v>
      </c>
      <c r="X59" t="e">
        <f t="shared" si="16"/>
        <v>#VALUE!</v>
      </c>
    </row>
    <row r="60" spans="3:24" ht="14" x14ac:dyDescent="0.15">
      <c r="C60" s="47" t="s">
        <v>288</v>
      </c>
      <c r="D60" s="55" t="str">
        <f>'Closed Transactions'!K60</f>
        <v/>
      </c>
      <c r="E60" s="50">
        <f>'Closed Transactions'!L60</f>
        <v>0</v>
      </c>
      <c r="F60" s="59">
        <f t="shared" si="1"/>
        <v>0</v>
      </c>
      <c r="G60" s="50">
        <f t="shared" si="2"/>
        <v>0</v>
      </c>
      <c r="H60" s="50">
        <f t="shared" si="3"/>
        <v>0</v>
      </c>
      <c r="I60" s="50">
        <f t="shared" si="4"/>
        <v>0</v>
      </c>
      <c r="J60" s="58">
        <f t="shared" si="7"/>
        <v>0</v>
      </c>
      <c r="K60" s="50">
        <f t="shared" si="8"/>
        <v>0</v>
      </c>
      <c r="L60" s="50">
        <f t="shared" si="5"/>
        <v>0</v>
      </c>
      <c r="M60" s="50">
        <f t="shared" si="6"/>
        <v>0</v>
      </c>
      <c r="N60" s="58">
        <f t="shared" si="9"/>
        <v>0</v>
      </c>
      <c r="O60" s="50">
        <f t="shared" si="10"/>
        <v>0</v>
      </c>
      <c r="P60" s="607">
        <f t="shared" si="18"/>
        <v>0</v>
      </c>
      <c r="Q60" s="50">
        <f t="shared" si="11"/>
        <v>0</v>
      </c>
      <c r="R60" s="50">
        <f t="shared" si="19"/>
        <v>21583.025097920003</v>
      </c>
      <c r="S60" s="624" t="e">
        <f t="shared" si="12"/>
        <v>#VALUE!</v>
      </c>
      <c r="T60" s="625" t="e">
        <f t="shared" si="13"/>
        <v>#VALUE!</v>
      </c>
      <c r="U60" s="626" t="e">
        <f t="shared" si="14"/>
        <v>#VALUE!</v>
      </c>
      <c r="W60" t="e">
        <f t="shared" si="15"/>
        <v>#VALUE!</v>
      </c>
      <c r="X60" t="e">
        <f t="shared" si="16"/>
        <v>#VALUE!</v>
      </c>
    </row>
    <row r="61" spans="3:24" ht="14" x14ac:dyDescent="0.15">
      <c r="C61" s="47" t="s">
        <v>289</v>
      </c>
      <c r="D61" s="55" t="str">
        <f>'Closed Transactions'!K61</f>
        <v/>
      </c>
      <c r="E61" s="50">
        <f>'Closed Transactions'!L61</f>
        <v>0</v>
      </c>
      <c r="F61" s="59">
        <f t="shared" si="1"/>
        <v>0</v>
      </c>
      <c r="G61" s="50">
        <f t="shared" si="2"/>
        <v>0</v>
      </c>
      <c r="H61" s="50">
        <f t="shared" si="3"/>
        <v>0</v>
      </c>
      <c r="I61" s="50">
        <f t="shared" si="4"/>
        <v>0</v>
      </c>
      <c r="J61" s="58">
        <f t="shared" si="7"/>
        <v>0</v>
      </c>
      <c r="K61" s="50">
        <f t="shared" si="8"/>
        <v>0</v>
      </c>
      <c r="L61" s="50">
        <f t="shared" si="5"/>
        <v>0</v>
      </c>
      <c r="M61" s="50">
        <f t="shared" si="6"/>
        <v>0</v>
      </c>
      <c r="N61" s="58">
        <f t="shared" si="9"/>
        <v>0</v>
      </c>
      <c r="O61" s="50">
        <f t="shared" si="10"/>
        <v>0</v>
      </c>
      <c r="P61" s="607">
        <f t="shared" si="18"/>
        <v>0</v>
      </c>
      <c r="Q61" s="50">
        <f t="shared" si="11"/>
        <v>0</v>
      </c>
      <c r="R61" s="50">
        <f t="shared" si="19"/>
        <v>21583.025097920003</v>
      </c>
      <c r="S61" s="624" t="e">
        <f t="shared" si="12"/>
        <v>#VALUE!</v>
      </c>
      <c r="T61" s="625" t="e">
        <f t="shared" si="13"/>
        <v>#VALUE!</v>
      </c>
      <c r="U61" s="626" t="e">
        <f t="shared" si="14"/>
        <v>#VALUE!</v>
      </c>
      <c r="W61" t="e">
        <f t="shared" si="15"/>
        <v>#VALUE!</v>
      </c>
      <c r="X61" t="e">
        <f t="shared" si="16"/>
        <v>#VALUE!</v>
      </c>
    </row>
    <row r="62" spans="3:24" ht="14" x14ac:dyDescent="0.15">
      <c r="C62" s="47" t="s">
        <v>290</v>
      </c>
      <c r="D62" s="55" t="str">
        <f>'Closed Transactions'!K62</f>
        <v/>
      </c>
      <c r="E62" s="50">
        <f>'Closed Transactions'!L62</f>
        <v>0</v>
      </c>
      <c r="F62" s="59">
        <f t="shared" si="1"/>
        <v>0</v>
      </c>
      <c r="G62" s="50">
        <f t="shared" si="2"/>
        <v>0</v>
      </c>
      <c r="H62" s="50">
        <f t="shared" si="3"/>
        <v>0</v>
      </c>
      <c r="I62" s="50">
        <f t="shared" si="4"/>
        <v>0</v>
      </c>
      <c r="J62" s="58">
        <f t="shared" si="7"/>
        <v>0</v>
      </c>
      <c r="K62" s="50">
        <f t="shared" si="8"/>
        <v>0</v>
      </c>
      <c r="L62" s="50">
        <f t="shared" si="5"/>
        <v>0</v>
      </c>
      <c r="M62" s="50">
        <f t="shared" si="6"/>
        <v>0</v>
      </c>
      <c r="N62" s="58">
        <f t="shared" si="9"/>
        <v>0</v>
      </c>
      <c r="O62" s="50">
        <f t="shared" si="10"/>
        <v>0</v>
      </c>
      <c r="P62" s="607">
        <f t="shared" si="18"/>
        <v>0</v>
      </c>
      <c r="Q62" s="50">
        <f t="shared" si="11"/>
        <v>0</v>
      </c>
      <c r="R62" s="50">
        <f t="shared" si="19"/>
        <v>21583.025097920003</v>
      </c>
      <c r="S62" s="624" t="e">
        <f t="shared" si="12"/>
        <v>#VALUE!</v>
      </c>
      <c r="T62" s="625" t="e">
        <f t="shared" si="13"/>
        <v>#VALUE!</v>
      </c>
      <c r="U62" s="626" t="e">
        <f t="shared" si="14"/>
        <v>#VALUE!</v>
      </c>
      <c r="W62" t="e">
        <f t="shared" si="15"/>
        <v>#VALUE!</v>
      </c>
      <c r="X62" t="e">
        <f t="shared" si="16"/>
        <v>#VALUE!</v>
      </c>
    </row>
    <row r="63" spans="3:24" ht="14" x14ac:dyDescent="0.15">
      <c r="C63" s="47" t="s">
        <v>291</v>
      </c>
      <c r="D63" s="55" t="str">
        <f>'Closed Transactions'!K63</f>
        <v/>
      </c>
      <c r="E63" s="50">
        <f>'Closed Transactions'!L63</f>
        <v>0</v>
      </c>
      <c r="F63" s="59">
        <f t="shared" si="1"/>
        <v>0</v>
      </c>
      <c r="G63" s="50">
        <f t="shared" si="2"/>
        <v>0</v>
      </c>
      <c r="H63" s="50">
        <f t="shared" si="3"/>
        <v>0</v>
      </c>
      <c r="I63" s="50">
        <f t="shared" si="4"/>
        <v>0</v>
      </c>
      <c r="J63" s="58">
        <f t="shared" si="7"/>
        <v>0</v>
      </c>
      <c r="K63" s="50">
        <f t="shared" si="8"/>
        <v>0</v>
      </c>
      <c r="L63" s="50">
        <f t="shared" si="5"/>
        <v>0</v>
      </c>
      <c r="M63" s="50">
        <f t="shared" si="6"/>
        <v>0</v>
      </c>
      <c r="N63" s="58">
        <f t="shared" si="9"/>
        <v>0</v>
      </c>
      <c r="O63" s="50">
        <f t="shared" si="10"/>
        <v>0</v>
      </c>
      <c r="P63" s="607">
        <f t="shared" si="18"/>
        <v>0</v>
      </c>
      <c r="Q63" s="50">
        <f t="shared" si="11"/>
        <v>0</v>
      </c>
      <c r="R63" s="50">
        <f t="shared" si="19"/>
        <v>21583.025097920003</v>
      </c>
      <c r="S63" s="624" t="e">
        <f t="shared" si="12"/>
        <v>#VALUE!</v>
      </c>
      <c r="T63" s="625" t="e">
        <f t="shared" si="13"/>
        <v>#VALUE!</v>
      </c>
      <c r="U63" s="626" t="e">
        <f t="shared" si="14"/>
        <v>#VALUE!</v>
      </c>
      <c r="W63" t="e">
        <f t="shared" si="15"/>
        <v>#VALUE!</v>
      </c>
      <c r="X63" t="e">
        <f t="shared" si="16"/>
        <v>#VALUE!</v>
      </c>
    </row>
    <row r="64" spans="3:24" ht="14" x14ac:dyDescent="0.15">
      <c r="C64" s="47" t="s">
        <v>292</v>
      </c>
      <c r="D64" s="55" t="str">
        <f>'Closed Transactions'!K64</f>
        <v/>
      </c>
      <c r="E64" s="50">
        <f>'Closed Transactions'!L64</f>
        <v>0</v>
      </c>
      <c r="F64" s="59">
        <f t="shared" si="1"/>
        <v>0</v>
      </c>
      <c r="G64" s="50">
        <f t="shared" si="2"/>
        <v>0</v>
      </c>
      <c r="H64" s="50">
        <f t="shared" si="3"/>
        <v>0</v>
      </c>
      <c r="I64" s="50">
        <f t="shared" si="4"/>
        <v>0</v>
      </c>
      <c r="J64" s="58">
        <f t="shared" si="7"/>
        <v>0</v>
      </c>
      <c r="K64" s="50">
        <f t="shared" si="8"/>
        <v>0</v>
      </c>
      <c r="L64" s="50">
        <f t="shared" si="5"/>
        <v>0</v>
      </c>
      <c r="M64" s="50">
        <f t="shared" si="6"/>
        <v>0</v>
      </c>
      <c r="N64" s="58">
        <f t="shared" si="9"/>
        <v>0</v>
      </c>
      <c r="O64" s="50">
        <f t="shared" si="10"/>
        <v>0</v>
      </c>
      <c r="P64" s="607">
        <f t="shared" si="18"/>
        <v>0</v>
      </c>
      <c r="Q64" s="50">
        <f t="shared" si="11"/>
        <v>0</v>
      </c>
      <c r="R64" s="50">
        <f t="shared" si="19"/>
        <v>21583.025097920003</v>
      </c>
      <c r="S64" s="624" t="e">
        <f t="shared" si="12"/>
        <v>#VALUE!</v>
      </c>
      <c r="T64" s="625" t="e">
        <f t="shared" si="13"/>
        <v>#VALUE!</v>
      </c>
      <c r="U64" s="626" t="e">
        <f t="shared" si="14"/>
        <v>#VALUE!</v>
      </c>
      <c r="W64" t="e">
        <f t="shared" si="15"/>
        <v>#VALUE!</v>
      </c>
      <c r="X64" t="e">
        <f t="shared" si="16"/>
        <v>#VALUE!</v>
      </c>
    </row>
    <row r="69" spans="2:4" x14ac:dyDescent="0.15">
      <c r="B69" s="641" t="s">
        <v>130</v>
      </c>
      <c r="C69" s="643" t="e">
        <f>B20</f>
        <v>#DIV/0!</v>
      </c>
      <c r="D69" s="644" t="e">
        <f>1-C69</f>
        <v>#DIV/0!</v>
      </c>
    </row>
    <row r="70" spans="2:4" x14ac:dyDescent="0.15">
      <c r="B70" s="642" t="s">
        <v>376</v>
      </c>
      <c r="C70" s="48" t="e">
        <f>B28</f>
        <v>#DIV/0!</v>
      </c>
      <c r="D70" s="645" t="e">
        <f>1-C70</f>
        <v>#DIV/0!</v>
      </c>
    </row>
    <row r="71" spans="2:4" x14ac:dyDescent="0.15">
      <c r="B71" s="691" t="s">
        <v>378</v>
      </c>
      <c r="C71" s="692">
        <f>B24</f>
        <v>2.6978781372400005</v>
      </c>
      <c r="D71" s="693">
        <f>1-C71</f>
        <v>-1.6978781372400005</v>
      </c>
    </row>
  </sheetData>
  <sheetProtection algorithmName="SHA-512" hashValue="yt3ZMGKVlSHCbKf3WymYGpq+zGXwyOxjfpndl63U4VMGL8vzQRgyWcSiaSjgz0Uqmm1afMzFcRwlbF2zczx2og==" saltValue="xURY+xL73OoBUX95PwM8pg==" spinCount="100000" sheet="1" objects="1" scenarios="1" selectLockedCells="1" selectUnlockedCells="1"/>
  <mergeCells count="1">
    <mergeCell ref="S1:U1"/>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tint="0.39997558519241921"/>
    <pageSetUpPr fitToPage="1"/>
  </sheetPr>
  <dimension ref="A1:S55"/>
  <sheetViews>
    <sheetView showGridLines="0" showRowColHeaders="0" workbookViewId="0">
      <selection activeCell="J4" sqref="J4:J5"/>
    </sheetView>
  </sheetViews>
  <sheetFormatPr baseColWidth="10" defaultColWidth="9.1640625" defaultRowHeight="14" x14ac:dyDescent="0.2"/>
  <cols>
    <col min="1" max="1" width="7.6640625" style="92" customWidth="1"/>
    <col min="2" max="2" width="20.6640625" style="92" customWidth="1"/>
    <col min="3" max="7" width="10.6640625" style="92" customWidth="1"/>
    <col min="8" max="8" width="12.33203125" style="92" customWidth="1"/>
    <col min="9" max="10" width="10.6640625" style="92" customWidth="1"/>
    <col min="11" max="11" width="7.6640625" style="92" customWidth="1"/>
    <col min="12" max="13" width="12.6640625" style="92" customWidth="1"/>
    <col min="14" max="14" width="14.83203125" style="92" customWidth="1"/>
    <col min="15" max="15" width="12.6640625" style="92" customWidth="1"/>
    <col min="16" max="16" width="10.6640625" style="92" customWidth="1"/>
    <col min="17" max="17" width="9" style="92" customWidth="1"/>
    <col min="18" max="16384" width="9.1640625" style="92"/>
  </cols>
  <sheetData>
    <row r="1" spans="1:19" ht="27" customHeight="1" thickBot="1" x14ac:dyDescent="0.35">
      <c r="A1" s="888">
        <v>2025</v>
      </c>
      <c r="B1" s="889"/>
      <c r="C1" s="889"/>
      <c r="D1" s="892" t="s">
        <v>65</v>
      </c>
      <c r="E1" s="893"/>
      <c r="F1" s="893"/>
      <c r="G1" s="893"/>
      <c r="H1" s="893"/>
      <c r="I1" s="893"/>
      <c r="J1" s="893"/>
      <c r="K1" s="451"/>
      <c r="L1" s="452"/>
      <c r="M1" s="871" t="s">
        <v>379</v>
      </c>
      <c r="N1" s="871"/>
      <c r="O1" s="871"/>
      <c r="P1" s="871"/>
      <c r="Q1" s="871"/>
      <c r="R1" s="629"/>
      <c r="S1" s="453"/>
    </row>
    <row r="2" spans="1:19" ht="26" x14ac:dyDescent="0.3">
      <c r="A2" s="581"/>
      <c r="B2" s="455"/>
      <c r="I2" s="456"/>
      <c r="J2" s="457"/>
      <c r="K2" s="458"/>
      <c r="L2" s="459"/>
      <c r="M2" s="871"/>
      <c r="N2" s="871"/>
      <c r="O2" s="871"/>
      <c r="P2" s="871"/>
      <c r="Q2" s="871"/>
      <c r="R2" s="629"/>
      <c r="S2" s="453"/>
    </row>
    <row r="3" spans="1:19" ht="34" x14ac:dyDescent="0.2">
      <c r="A3" s="454"/>
      <c r="B3" s="460"/>
      <c r="C3" s="460"/>
      <c r="D3" s="890" t="s">
        <v>44</v>
      </c>
      <c r="E3" s="890"/>
      <c r="F3" s="891" t="s">
        <v>327</v>
      </c>
      <c r="G3" s="891"/>
      <c r="H3" s="905" t="s">
        <v>338</v>
      </c>
      <c r="I3" s="905"/>
      <c r="J3" s="461" t="s">
        <v>61</v>
      </c>
      <c r="K3" s="462"/>
      <c r="L3" s="453"/>
      <c r="M3" s="871"/>
      <c r="N3" s="871"/>
      <c r="O3" s="871"/>
      <c r="P3" s="871"/>
      <c r="Q3" s="871"/>
      <c r="R3" s="629"/>
      <c r="S3" s="453"/>
    </row>
    <row r="4" spans="1:19" ht="20" customHeight="1" x14ac:dyDescent="0.2">
      <c r="A4" s="454"/>
      <c r="B4" s="894" t="s">
        <v>60</v>
      </c>
      <c r="C4" s="894"/>
      <c r="D4" s="895">
        <f>'Closed Transactions'!M66</f>
        <v>94220.475554880002</v>
      </c>
      <c r="E4" s="896"/>
      <c r="F4" s="899">
        <f>'Goals &amp; Fees'!L4</f>
        <v>200000</v>
      </c>
      <c r="G4" s="900"/>
      <c r="H4" s="463" t="s">
        <v>78</v>
      </c>
      <c r="I4" s="464">
        <f>'Goals &amp; Fees'!L13+'Goals &amp; Fees'!L22+'Goals &amp; Fees'!E30</f>
        <v>8000</v>
      </c>
      <c r="J4" s="903">
        <v>0.85</v>
      </c>
      <c r="K4" s="462"/>
      <c r="L4" s="465"/>
      <c r="M4" s="453"/>
      <c r="N4" s="453"/>
      <c r="O4" s="453"/>
      <c r="P4" s="453"/>
      <c r="Q4" s="453"/>
      <c r="R4" s="453"/>
      <c r="S4" s="453"/>
    </row>
    <row r="5" spans="1:19" ht="20" customHeight="1" x14ac:dyDescent="0.2">
      <c r="A5" s="454"/>
      <c r="B5" s="894"/>
      <c r="C5" s="894"/>
      <c r="D5" s="897"/>
      <c r="E5" s="898"/>
      <c r="F5" s="901"/>
      <c r="G5" s="902"/>
      <c r="H5" s="463" t="s">
        <v>79</v>
      </c>
      <c r="I5" s="368">
        <v>0.05</v>
      </c>
      <c r="J5" s="904"/>
      <c r="L5" s="466"/>
      <c r="M5" s="467"/>
      <c r="N5" s="918" t="s">
        <v>64</v>
      </c>
      <c r="O5" s="918" t="s">
        <v>63</v>
      </c>
      <c r="P5" s="918" t="s">
        <v>80</v>
      </c>
      <c r="Q5" s="468"/>
      <c r="R5" s="453"/>
      <c r="S5" s="453"/>
    </row>
    <row r="6" spans="1:19" ht="12.75" customHeight="1" x14ac:dyDescent="0.25">
      <c r="A6" s="454"/>
      <c r="B6" s="469"/>
      <c r="C6" s="469"/>
      <c r="D6" s="470"/>
      <c r="E6" s="470"/>
      <c r="F6" s="470"/>
      <c r="G6" s="470"/>
      <c r="H6" s="470"/>
      <c r="I6" s="471"/>
      <c r="L6" s="472"/>
      <c r="M6" s="473"/>
      <c r="N6" s="919"/>
      <c r="O6" s="919"/>
      <c r="P6" s="919"/>
      <c r="Q6" s="474"/>
      <c r="R6" s="453"/>
      <c r="S6" s="453"/>
    </row>
    <row r="7" spans="1:19" ht="24" customHeight="1" x14ac:dyDescent="0.25">
      <c r="A7" s="454"/>
      <c r="B7" s="475"/>
      <c r="C7" s="475"/>
      <c r="D7" s="470"/>
      <c r="E7" s="470"/>
      <c r="F7" s="906"/>
      <c r="G7" s="906"/>
      <c r="H7" s="470"/>
      <c r="I7" s="471"/>
      <c r="L7" s="931" t="str">
        <f>CONCATENATE(G4," Brokerage Take at ",TEXT(I5,"0%"),":")</f>
        <v xml:space="preserve"> Brokerage Take at 5%:</v>
      </c>
      <c r="M7" s="932"/>
      <c r="N7" s="921">
        <f>(I4/I5)/F16</f>
        <v>5333333.333333334</v>
      </c>
      <c r="O7" s="933">
        <f>I4/I5</f>
        <v>160000</v>
      </c>
      <c r="P7" s="923">
        <f>(I4/I5)/(F16*F13)</f>
        <v>10.666666666666666</v>
      </c>
      <c r="Q7" s="476"/>
      <c r="R7" s="453"/>
      <c r="S7" s="453"/>
    </row>
    <row r="8" spans="1:19" s="453" customFormat="1" ht="12.75" customHeight="1" x14ac:dyDescent="0.2">
      <c r="A8" s="465"/>
      <c r="B8" s="477" t="s">
        <v>46</v>
      </c>
      <c r="D8" s="883">
        <f>'Closed Transactions'!I66</f>
        <v>5901765</v>
      </c>
      <c r="E8" s="883"/>
      <c r="F8" s="885">
        <f>N11</f>
        <v>8470588.2352941185</v>
      </c>
      <c r="G8" s="885"/>
      <c r="L8" s="931"/>
      <c r="M8" s="932"/>
      <c r="N8" s="922"/>
      <c r="O8" s="934"/>
      <c r="P8" s="924"/>
      <c r="Q8" s="474"/>
    </row>
    <row r="9" spans="1:19" s="453" customFormat="1" ht="12.75" customHeight="1" x14ac:dyDescent="0.2">
      <c r="A9" s="465"/>
      <c r="B9" s="477" t="s">
        <v>47</v>
      </c>
      <c r="D9" s="883">
        <f>'Closed Transactions'!K66</f>
        <v>119176.25065279999</v>
      </c>
      <c r="E9" s="883"/>
      <c r="F9" s="885">
        <f>F8*F16</f>
        <v>254117.64705882355</v>
      </c>
      <c r="G9" s="885"/>
      <c r="L9" s="925" t="str">
        <f>CONCATENATE("Amount after ",TEXT(I4,"$#,##0")," Brokerage Take is Paid:")</f>
        <v>Amount after $8,000 Brokerage Take is Paid:</v>
      </c>
      <c r="M9" s="926"/>
      <c r="N9" s="935">
        <f>((F4-(O7*0.75))/J4)/F16</f>
        <v>3137254.9019607846</v>
      </c>
      <c r="O9" s="936">
        <f>N9*0.03</f>
        <v>94117.647058823539</v>
      </c>
      <c r="P9" s="920">
        <f>N9/F13</f>
        <v>6.2745098039215694</v>
      </c>
      <c r="Q9" s="474"/>
    </row>
    <row r="10" spans="1:19" s="453" customFormat="1" ht="12.75" customHeight="1" x14ac:dyDescent="0.2">
      <c r="A10" s="465"/>
      <c r="I10" s="478"/>
      <c r="L10" s="925"/>
      <c r="M10" s="926"/>
      <c r="N10" s="935"/>
      <c r="O10" s="936"/>
      <c r="P10" s="920"/>
      <c r="Q10" s="474"/>
    </row>
    <row r="11" spans="1:19" s="453" customFormat="1" ht="12.75" customHeight="1" x14ac:dyDescent="0.2">
      <c r="A11" s="465"/>
      <c r="B11" s="477" t="s">
        <v>48</v>
      </c>
      <c r="C11" s="479"/>
      <c r="D11" s="886">
        <f>'Closed Transactions'!A65</f>
        <v>17</v>
      </c>
      <c r="E11" s="886"/>
      <c r="F11" s="887">
        <f>P11</f>
        <v>16.941176470588236</v>
      </c>
      <c r="G11" s="887"/>
      <c r="L11" s="925" t="s">
        <v>81</v>
      </c>
      <c r="M11" s="926"/>
      <c r="N11" s="927">
        <f>SUM(N7,N9)</f>
        <v>8470588.2352941185</v>
      </c>
      <c r="O11" s="929">
        <f>SUM(O7:O9)</f>
        <v>254117.64705882355</v>
      </c>
      <c r="P11" s="916">
        <f>SUM(P7,P9)</f>
        <v>16.941176470588236</v>
      </c>
      <c r="Q11" s="474"/>
    </row>
    <row r="12" spans="1:19" s="453" customFormat="1" ht="12.75" customHeight="1" x14ac:dyDescent="0.2">
      <c r="A12" s="465"/>
      <c r="B12" s="477" t="s">
        <v>49</v>
      </c>
      <c r="D12" s="883">
        <f>D8/12</f>
        <v>491813.75</v>
      </c>
      <c r="E12" s="883"/>
      <c r="F12" s="885">
        <f>F8/12</f>
        <v>705882.3529411765</v>
      </c>
      <c r="G12" s="885"/>
      <c r="L12" s="925"/>
      <c r="M12" s="926"/>
      <c r="N12" s="928"/>
      <c r="O12" s="930"/>
      <c r="P12" s="917"/>
      <c r="Q12" s="474"/>
    </row>
    <row r="13" spans="1:19" s="453" customFormat="1" ht="12.75" customHeight="1" x14ac:dyDescent="0.2">
      <c r="A13" s="465"/>
      <c r="B13" s="477" t="s">
        <v>50</v>
      </c>
      <c r="D13" s="883">
        <f>IF(D11=0,0,D8/D11)</f>
        <v>347162.64705882355</v>
      </c>
      <c r="E13" s="883"/>
      <c r="F13" s="884">
        <v>500000</v>
      </c>
      <c r="G13" s="884"/>
      <c r="L13" s="472"/>
      <c r="M13" s="473"/>
      <c r="N13" s="473"/>
      <c r="O13" s="473"/>
      <c r="P13" s="473"/>
      <c r="Q13" s="474"/>
    </row>
    <row r="14" spans="1:19" s="453" customFormat="1" ht="12.75" customHeight="1" x14ac:dyDescent="0.2">
      <c r="A14" s="465"/>
      <c r="B14" s="477" t="s">
        <v>51</v>
      </c>
      <c r="D14" s="873">
        <f>D11/12</f>
        <v>1.4166666666666667</v>
      </c>
      <c r="E14" s="873"/>
      <c r="F14" s="874">
        <f>F11/12</f>
        <v>1.411764705882353</v>
      </c>
      <c r="G14" s="874"/>
      <c r="L14" s="480"/>
      <c r="M14" s="481"/>
      <c r="N14" s="481"/>
      <c r="O14" s="481"/>
      <c r="P14" s="481"/>
      <c r="Q14" s="482"/>
    </row>
    <row r="15" spans="1:19" s="453" customFormat="1" ht="12.75" customHeight="1" x14ac:dyDescent="0.2">
      <c r="A15" s="465"/>
      <c r="B15" s="477" t="s">
        <v>52</v>
      </c>
      <c r="D15" s="875">
        <f>D9/12</f>
        <v>9931.3542210666656</v>
      </c>
      <c r="E15" s="875"/>
      <c r="F15" s="876">
        <f>F9/12</f>
        <v>21176.470588235297</v>
      </c>
      <c r="G15" s="876"/>
      <c r="K15" s="483"/>
    </row>
    <row r="16" spans="1:19" s="453" customFormat="1" ht="12.75" customHeight="1" x14ac:dyDescent="0.2">
      <c r="A16" s="465"/>
      <c r="B16" s="477" t="s">
        <v>62</v>
      </c>
      <c r="D16" s="877">
        <f>'Closed Transactions'!J66</f>
        <v>0.17032723537671671</v>
      </c>
      <c r="E16" s="878"/>
      <c r="F16" s="879">
        <v>0.03</v>
      </c>
      <c r="G16" s="879"/>
      <c r="K16" s="483"/>
      <c r="L16" s="453" t="s">
        <v>340</v>
      </c>
    </row>
    <row r="17" spans="1:17" s="453" customFormat="1" ht="12.75" customHeight="1" x14ac:dyDescent="0.2">
      <c r="A17" s="465"/>
      <c r="B17" s="479"/>
      <c r="C17" s="484"/>
      <c r="D17" s="479"/>
      <c r="E17" s="479"/>
      <c r="F17" s="479"/>
      <c r="G17" s="479"/>
      <c r="L17" s="907"/>
      <c r="M17" s="908"/>
      <c r="N17" s="908"/>
      <c r="O17" s="908"/>
      <c r="P17" s="908"/>
      <c r="Q17" s="909"/>
    </row>
    <row r="18" spans="1:17" s="453" customFormat="1" ht="12.75" customHeight="1" x14ac:dyDescent="0.2">
      <c r="A18" s="465"/>
      <c r="B18" s="479"/>
      <c r="C18" s="484"/>
      <c r="D18" s="479"/>
      <c r="E18" s="479"/>
      <c r="F18" s="479"/>
      <c r="G18" s="479"/>
      <c r="L18" s="910"/>
      <c r="M18" s="911"/>
      <c r="N18" s="911"/>
      <c r="O18" s="911"/>
      <c r="P18" s="911"/>
      <c r="Q18" s="912"/>
    </row>
    <row r="19" spans="1:17" s="453" customFormat="1" ht="12.75" customHeight="1" x14ac:dyDescent="0.2">
      <c r="A19" s="465"/>
      <c r="B19" s="479"/>
      <c r="D19" s="479"/>
      <c r="E19" s="479"/>
      <c r="F19" s="880" t="s">
        <v>337</v>
      </c>
      <c r="G19" s="881"/>
      <c r="H19" s="881"/>
      <c r="I19" s="882"/>
      <c r="L19" s="910"/>
      <c r="M19" s="911"/>
      <c r="N19" s="911"/>
      <c r="O19" s="911"/>
      <c r="P19" s="911"/>
      <c r="Q19" s="912"/>
    </row>
    <row r="20" spans="1:17" s="453" customFormat="1" ht="26.25" customHeight="1" x14ac:dyDescent="0.2">
      <c r="A20" s="465"/>
      <c r="B20" s="485" t="s">
        <v>53</v>
      </c>
      <c r="D20" s="486" t="s">
        <v>54</v>
      </c>
      <c r="E20" s="487" t="s">
        <v>329</v>
      </c>
      <c r="F20" s="488" t="s">
        <v>70</v>
      </c>
      <c r="G20" s="489" t="s">
        <v>71</v>
      </c>
      <c r="H20" s="489" t="s">
        <v>72</v>
      </c>
      <c r="I20" s="490" t="s">
        <v>73</v>
      </c>
      <c r="L20" s="910"/>
      <c r="M20" s="911"/>
      <c r="N20" s="911"/>
      <c r="O20" s="911"/>
      <c r="P20" s="911"/>
      <c r="Q20" s="912"/>
    </row>
    <row r="21" spans="1:17" s="453" customFormat="1" ht="17" thickBot="1" x14ac:dyDescent="0.25">
      <c r="A21" s="465"/>
      <c r="B21" s="491" t="s">
        <v>55</v>
      </c>
      <c r="C21" s="365">
        <v>0.25</v>
      </c>
      <c r="D21" s="492">
        <f>D4*0.3</f>
        <v>28266.142666463998</v>
      </c>
      <c r="E21" s="493">
        <f>C21*F4</f>
        <v>50000</v>
      </c>
      <c r="F21" s="494">
        <f>C21*SUM('Closed Transactions'!Q66:V66)</f>
        <v>5407.8312499999993</v>
      </c>
      <c r="G21" s="494">
        <f>C21*SUM('Closed Transactions'!W66:AB66)</f>
        <v>14311.875</v>
      </c>
      <c r="H21" s="494">
        <f>C21*SUM('Closed Transactions'!AC65:AH65)</f>
        <v>0</v>
      </c>
      <c r="I21" s="495">
        <f>C21*SUM('Closed Transactions'!AI66:AN66)</f>
        <v>0</v>
      </c>
      <c r="L21" s="910"/>
      <c r="M21" s="911"/>
      <c r="N21" s="911"/>
      <c r="O21" s="911"/>
      <c r="P21" s="911"/>
      <c r="Q21" s="912"/>
    </row>
    <row r="22" spans="1:17" s="453" customFormat="1" ht="17" thickBot="1" x14ac:dyDescent="0.25">
      <c r="A22" s="465"/>
      <c r="B22" s="491" t="s">
        <v>56</v>
      </c>
      <c r="C22" s="366">
        <v>7.0000000000000007E-2</v>
      </c>
      <c r="D22" s="496">
        <f>D4*0.06</f>
        <v>5653.2285332927995</v>
      </c>
      <c r="E22" s="497">
        <f>C22*F4</f>
        <v>14000.000000000002</v>
      </c>
      <c r="F22" s="498">
        <f>C22*SUM('Closed Transactions'!Q66:V66)</f>
        <v>1514.1927499999999</v>
      </c>
      <c r="G22" s="498">
        <f>C22*SUM('Closed Transactions'!W66:AB66)</f>
        <v>4007.3250000000003</v>
      </c>
      <c r="H22" s="498">
        <f>C22*SUM('Closed Transactions'!AC66:AH66)</f>
        <v>1528.6294138416001</v>
      </c>
      <c r="I22" s="499">
        <f>C22*SUM('Closed Transactions'!AI66:AN66)</f>
        <v>0</v>
      </c>
      <c r="L22" s="910"/>
      <c r="M22" s="911"/>
      <c r="N22" s="911"/>
      <c r="O22" s="911"/>
      <c r="P22" s="911"/>
      <c r="Q22" s="912"/>
    </row>
    <row r="23" spans="1:17" s="453" customFormat="1" ht="17" thickBot="1" x14ac:dyDescent="0.25">
      <c r="A23" s="465"/>
      <c r="B23" s="491" t="s">
        <v>57</v>
      </c>
      <c r="C23" s="366">
        <v>0.1</v>
      </c>
      <c r="D23" s="496">
        <f>D4*C23</f>
        <v>9422.0475554880013</v>
      </c>
      <c r="E23" s="497">
        <f>C23*F4</f>
        <v>20000</v>
      </c>
      <c r="F23" s="498">
        <f>C23*SUM('Closed Transactions'!Q66:V66)</f>
        <v>2163.1324999999997</v>
      </c>
      <c r="G23" s="498">
        <f>C23*SUM('Closed Transactions'!W66:AB66)</f>
        <v>5724.75</v>
      </c>
      <c r="H23" s="498">
        <f>C23*SUM('Closed Transactions'!AC66:AH66)</f>
        <v>2183.7563054880002</v>
      </c>
      <c r="I23" s="499">
        <f>C23*SUM('Closed Transactions'!AI66:AN66)</f>
        <v>0</v>
      </c>
      <c r="L23" s="910"/>
      <c r="M23" s="911"/>
      <c r="N23" s="911"/>
      <c r="O23" s="911"/>
      <c r="P23" s="911"/>
      <c r="Q23" s="912"/>
    </row>
    <row r="24" spans="1:17" s="453" customFormat="1" ht="17" thickBot="1" x14ac:dyDescent="0.25">
      <c r="A24" s="465"/>
      <c r="B24" s="491" t="s">
        <v>58</v>
      </c>
      <c r="C24" s="366">
        <v>0.08</v>
      </c>
      <c r="D24" s="496">
        <f>D4*C24</f>
        <v>7537.6380443904</v>
      </c>
      <c r="E24" s="497">
        <f>C24*F4</f>
        <v>16000</v>
      </c>
      <c r="F24" s="498">
        <f>C24*SUM('Closed Transactions'!Q66:V66)</f>
        <v>1730.5059999999999</v>
      </c>
      <c r="G24" s="498">
        <f>C24*SUM('Closed Transactions'!W66:AB66)</f>
        <v>4579.8</v>
      </c>
      <c r="H24" s="498">
        <f>C24*SUM('Closed Transactions'!AC66:AH66)</f>
        <v>1747.0050443904001</v>
      </c>
      <c r="I24" s="499">
        <f>C24*SUM('Closed Transactions'!AI66:AN66)</f>
        <v>0</v>
      </c>
      <c r="L24" s="910"/>
      <c r="M24" s="911"/>
      <c r="N24" s="911"/>
      <c r="O24" s="911"/>
      <c r="P24" s="911"/>
      <c r="Q24" s="912"/>
    </row>
    <row r="25" spans="1:17" s="453" customFormat="1" ht="16" x14ac:dyDescent="0.2">
      <c r="A25" s="465"/>
      <c r="B25" s="491" t="s">
        <v>59</v>
      </c>
      <c r="C25" s="367">
        <v>0.5</v>
      </c>
      <c r="D25" s="500">
        <f>D4*C25</f>
        <v>47110.237777440001</v>
      </c>
      <c r="E25" s="501">
        <f>C25*F4</f>
        <v>100000</v>
      </c>
      <c r="F25" s="502">
        <f>C25*SUM('Closed Transactions'!Q66:V66)</f>
        <v>10815.662499999999</v>
      </c>
      <c r="G25" s="502">
        <f>C25*SUM('Closed Transactions'!W66:AB66)</f>
        <v>28623.75</v>
      </c>
      <c r="H25" s="502">
        <f>C25*SUM('Closed Transactions'!AC66:AH66)</f>
        <v>10918.78152744</v>
      </c>
      <c r="I25" s="503">
        <f>C25*SUM('Closed Transactions'!AI66:AN66)</f>
        <v>0</v>
      </c>
      <c r="L25" s="910"/>
      <c r="M25" s="911"/>
      <c r="N25" s="911"/>
      <c r="O25" s="911"/>
      <c r="P25" s="911"/>
      <c r="Q25" s="912"/>
    </row>
    <row r="26" spans="1:17" s="453" customFormat="1" ht="12.75" customHeight="1" x14ac:dyDescent="0.2">
      <c r="A26" s="465"/>
      <c r="B26" s="504" t="s">
        <v>328</v>
      </c>
      <c r="C26" s="505">
        <f>SUM(C21:C25)</f>
        <v>1</v>
      </c>
      <c r="L26" s="910"/>
      <c r="M26" s="911"/>
      <c r="N26" s="911"/>
      <c r="O26" s="911"/>
      <c r="P26" s="911"/>
      <c r="Q26" s="912"/>
    </row>
    <row r="27" spans="1:17" ht="12.75" customHeight="1" thickBot="1" x14ac:dyDescent="0.25">
      <c r="A27" s="506"/>
      <c r="B27" s="507"/>
      <c r="C27" s="507"/>
      <c r="D27" s="507"/>
      <c r="E27" s="507"/>
      <c r="F27" s="507"/>
      <c r="G27" s="507"/>
      <c r="H27" s="507"/>
      <c r="I27" s="507"/>
      <c r="J27" s="507"/>
      <c r="K27" s="507"/>
      <c r="L27" s="913"/>
      <c r="M27" s="914"/>
      <c r="N27" s="914"/>
      <c r="O27" s="914"/>
      <c r="P27" s="914"/>
      <c r="Q27" s="915"/>
    </row>
    <row r="28" spans="1:17" ht="12.75" customHeight="1" x14ac:dyDescent="0.2"/>
    <row r="29" spans="1:17" x14ac:dyDescent="0.2">
      <c r="C29" s="508"/>
      <c r="D29" s="449"/>
      <c r="J29" s="508"/>
      <c r="K29" s="449"/>
    </row>
    <row r="30" spans="1:17" x14ac:dyDescent="0.2">
      <c r="C30" s="508"/>
      <c r="D30" s="449"/>
      <c r="J30" s="508"/>
      <c r="K30" s="449"/>
      <c r="L30" s="449"/>
    </row>
    <row r="31" spans="1:17" x14ac:dyDescent="0.2">
      <c r="A31" s="509"/>
      <c r="C31" s="449"/>
      <c r="D31" s="449"/>
      <c r="J31" s="510"/>
      <c r="K31" s="510"/>
      <c r="L31" s="449"/>
    </row>
    <row r="32" spans="1:17" x14ac:dyDescent="0.2">
      <c r="A32" s="509"/>
      <c r="C32" s="449"/>
      <c r="D32" s="449"/>
      <c r="J32" s="510"/>
      <c r="K32" s="510"/>
      <c r="L32" s="449"/>
    </row>
    <row r="33" spans="1:12" x14ac:dyDescent="0.2">
      <c r="A33" s="509"/>
      <c r="C33" s="449"/>
      <c r="D33" s="449"/>
      <c r="J33" s="510"/>
      <c r="K33" s="510"/>
      <c r="L33" s="449"/>
    </row>
    <row r="34" spans="1:12" x14ac:dyDescent="0.2">
      <c r="C34" s="510"/>
      <c r="D34" s="510"/>
    </row>
    <row r="35" spans="1:12" x14ac:dyDescent="0.2">
      <c r="G35" s="511"/>
      <c r="J35" s="449"/>
      <c r="K35" s="449"/>
    </row>
    <row r="36" spans="1:12" x14ac:dyDescent="0.2">
      <c r="G36" s="455"/>
      <c r="J36" s="508"/>
      <c r="K36" s="449"/>
    </row>
    <row r="37" spans="1:12" x14ac:dyDescent="0.2">
      <c r="A37" s="509"/>
      <c r="C37" s="449"/>
      <c r="G37" s="455"/>
      <c r="J37" s="508"/>
      <c r="K37" s="449"/>
    </row>
    <row r="38" spans="1:12" x14ac:dyDescent="0.2">
      <c r="A38" s="509"/>
      <c r="C38" s="510"/>
      <c r="D38" s="449"/>
      <c r="H38" s="455"/>
      <c r="J38" s="508"/>
      <c r="K38" s="449"/>
    </row>
    <row r="39" spans="1:12" x14ac:dyDescent="0.2">
      <c r="A39" s="509"/>
      <c r="C39" s="449"/>
      <c r="D39" s="449"/>
      <c r="G39" s="455"/>
      <c r="J39" s="510"/>
      <c r="K39" s="510"/>
    </row>
    <row r="40" spans="1:12" x14ac:dyDescent="0.2">
      <c r="A40" s="509"/>
      <c r="C40" s="510"/>
      <c r="D40" s="510"/>
      <c r="G40" s="509"/>
    </row>
    <row r="41" spans="1:12" x14ac:dyDescent="0.2">
      <c r="C41" s="449"/>
      <c r="J41" s="508"/>
      <c r="K41" s="508"/>
    </row>
    <row r="42" spans="1:12" x14ac:dyDescent="0.2">
      <c r="C42" s="449"/>
      <c r="I42" s="512"/>
      <c r="J42" s="508"/>
      <c r="K42" s="508"/>
    </row>
    <row r="43" spans="1:12" x14ac:dyDescent="0.2">
      <c r="C43" s="449"/>
      <c r="D43" s="449"/>
      <c r="J43" s="510"/>
      <c r="K43" s="510"/>
    </row>
    <row r="45" spans="1:12" x14ac:dyDescent="0.2">
      <c r="J45" s="513"/>
      <c r="K45" s="513"/>
    </row>
    <row r="46" spans="1:12" x14ac:dyDescent="0.2">
      <c r="J46" s="513"/>
      <c r="K46" s="513"/>
    </row>
    <row r="47" spans="1:12" x14ac:dyDescent="0.2">
      <c r="J47" s="513"/>
      <c r="K47" s="513"/>
    </row>
    <row r="48" spans="1:12" x14ac:dyDescent="0.2">
      <c r="J48" s="513"/>
      <c r="K48" s="513"/>
    </row>
    <row r="50" spans="2:11" x14ac:dyDescent="0.2">
      <c r="J50" s="513"/>
      <c r="K50" s="513"/>
    </row>
    <row r="52" spans="2:11" x14ac:dyDescent="0.2">
      <c r="B52" s="514"/>
      <c r="C52" s="510"/>
      <c r="D52" s="510"/>
      <c r="H52" s="514"/>
      <c r="I52" s="514"/>
      <c r="J52" s="510"/>
      <c r="K52" s="510"/>
    </row>
    <row r="53" spans="2:11" x14ac:dyDescent="0.2">
      <c r="C53" s="515"/>
      <c r="D53" s="515"/>
      <c r="J53" s="515"/>
      <c r="K53" s="515"/>
    </row>
    <row r="54" spans="2:11" ht="16" x14ac:dyDescent="0.2">
      <c r="D54" s="872"/>
      <c r="E54" s="872"/>
      <c r="F54" s="516"/>
    </row>
    <row r="55" spans="2:11" ht="16" x14ac:dyDescent="0.2">
      <c r="B55" s="484"/>
      <c r="C55" s="516"/>
      <c r="H55" s="484"/>
      <c r="I55" s="516"/>
    </row>
  </sheetData>
  <sheetProtection algorithmName="SHA-512" hashValue="4+RdNgvlr35RhmwLwKtboDk7EgAJlJGrFeePTNQrSy5xquxlJinVOG4ntGKxr/C8BkccX+VeGWF+8xglNsBOmQ==" saltValue="pNiGgRJCQmRD1G20VPni3w==" spinCount="100000" sheet="1" objects="1" scenarios="1" selectLockedCells="1"/>
  <mergeCells count="45">
    <mergeCell ref="L17:Q27"/>
    <mergeCell ref="P11:P12"/>
    <mergeCell ref="N5:N6"/>
    <mergeCell ref="O5:O6"/>
    <mergeCell ref="P5:P6"/>
    <mergeCell ref="P9:P10"/>
    <mergeCell ref="N7:N8"/>
    <mergeCell ref="P7:P8"/>
    <mergeCell ref="L11:M12"/>
    <mergeCell ref="N11:N12"/>
    <mergeCell ref="O11:O12"/>
    <mergeCell ref="L7:M8"/>
    <mergeCell ref="O7:O8"/>
    <mergeCell ref="L9:M10"/>
    <mergeCell ref="N9:N10"/>
    <mergeCell ref="O9:O10"/>
    <mergeCell ref="F12:G12"/>
    <mergeCell ref="A1:C1"/>
    <mergeCell ref="D3:E3"/>
    <mergeCell ref="F3:G3"/>
    <mergeCell ref="D1:J1"/>
    <mergeCell ref="B4:C5"/>
    <mergeCell ref="D4:E5"/>
    <mergeCell ref="F4:G5"/>
    <mergeCell ref="J4:J5"/>
    <mergeCell ref="H3:I3"/>
    <mergeCell ref="D8:E8"/>
    <mergeCell ref="F8:G8"/>
    <mergeCell ref="F7:G7"/>
    <mergeCell ref="M1:Q3"/>
    <mergeCell ref="D54:E54"/>
    <mergeCell ref="D14:E14"/>
    <mergeCell ref="F14:G14"/>
    <mergeCell ref="D15:E15"/>
    <mergeCell ref="F15:G15"/>
    <mergeCell ref="D16:E16"/>
    <mergeCell ref="F16:G16"/>
    <mergeCell ref="F19:I19"/>
    <mergeCell ref="D13:E13"/>
    <mergeCell ref="F13:G13"/>
    <mergeCell ref="D9:E9"/>
    <mergeCell ref="F9:G9"/>
    <mergeCell ref="D11:E11"/>
    <mergeCell ref="F11:G11"/>
    <mergeCell ref="D12:E12"/>
  </mergeCells>
  <phoneticPr fontId="2" type="noConversion"/>
  <pageMargins left="0.75" right="0.75" top="1" bottom="1" header="0.5" footer="0.5"/>
  <pageSetup scale="79" orientation="portrait"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D0EFE-3564-4B2D-BFFE-E5976A28DB4E}">
  <sheetPr>
    <tabColor theme="8" tint="0.79998168889431442"/>
  </sheetPr>
  <dimension ref="A1:R25"/>
  <sheetViews>
    <sheetView showGridLines="0" showRowColHeaders="0" topLeftCell="A2" zoomScaleNormal="100" zoomScaleSheetLayoutView="70" workbookViewId="0"/>
  </sheetViews>
  <sheetFormatPr baseColWidth="10" defaultColWidth="9.1640625" defaultRowHeight="14" x14ac:dyDescent="0.2"/>
  <cols>
    <col min="1" max="1" width="5.33203125" style="671" customWidth="1"/>
    <col min="2" max="2" width="8.33203125" style="671" customWidth="1"/>
    <col min="3" max="3" width="75.1640625" style="671" bestFit="1" customWidth="1"/>
    <col min="4" max="4" width="6.6640625" style="671" hidden="1" customWidth="1"/>
    <col min="5" max="5" width="8.33203125" style="671" customWidth="1"/>
    <col min="6" max="6" width="91.83203125" style="671" customWidth="1"/>
    <col min="7" max="16384" width="9.1640625" style="671"/>
  </cols>
  <sheetData>
    <row r="1" spans="1:18" ht="185.25" customHeight="1" x14ac:dyDescent="0.35">
      <c r="A1" s="670"/>
      <c r="R1" s="672"/>
    </row>
    <row r="2" spans="1:18" ht="62.25" customHeight="1" x14ac:dyDescent="0.2">
      <c r="A2" s="937" t="s">
        <v>151</v>
      </c>
      <c r="B2" s="937"/>
      <c r="C2" s="937"/>
      <c r="D2" s="673"/>
      <c r="E2" s="938" t="s">
        <v>369</v>
      </c>
      <c r="F2" s="938"/>
      <c r="G2" s="673"/>
      <c r="H2" s="673"/>
      <c r="I2" s="673"/>
      <c r="J2" s="673"/>
      <c r="K2" s="674"/>
      <c r="L2" s="674"/>
    </row>
    <row r="3" spans="1:18" ht="16" x14ac:dyDescent="0.2">
      <c r="A3" s="675"/>
      <c r="B3" s="675"/>
      <c r="C3" s="675"/>
      <c r="D3" s="675"/>
      <c r="E3" s="675"/>
      <c r="F3" s="675"/>
      <c r="G3" s="675"/>
      <c r="H3" s="675"/>
      <c r="I3" s="675"/>
      <c r="J3" s="675"/>
      <c r="K3" s="674"/>
      <c r="L3" s="674"/>
    </row>
    <row r="4" spans="1:18" ht="28" x14ac:dyDescent="0.25">
      <c r="A4" s="676"/>
      <c r="B4" s="677">
        <v>1</v>
      </c>
      <c r="C4" s="678" t="s">
        <v>152</v>
      </c>
      <c r="D4" s="679"/>
      <c r="E4" s="677">
        <v>1</v>
      </c>
      <c r="F4" s="678" t="s">
        <v>386</v>
      </c>
    </row>
    <row r="5" spans="1:18" ht="28" x14ac:dyDescent="0.25">
      <c r="A5" s="676"/>
      <c r="B5" s="677">
        <v>2</v>
      </c>
      <c r="C5" s="678" t="s">
        <v>202</v>
      </c>
      <c r="D5" s="679"/>
      <c r="E5" s="677">
        <v>2</v>
      </c>
      <c r="F5" s="678" t="s">
        <v>364</v>
      </c>
    </row>
    <row r="6" spans="1:18" ht="28" x14ac:dyDescent="0.25">
      <c r="A6" s="676"/>
      <c r="B6" s="677">
        <v>3</v>
      </c>
      <c r="C6" s="678" t="s">
        <v>153</v>
      </c>
      <c r="D6" s="679"/>
      <c r="E6" s="677">
        <v>3</v>
      </c>
      <c r="F6" s="678" t="s">
        <v>365</v>
      </c>
    </row>
    <row r="7" spans="1:18" ht="28" x14ac:dyDescent="0.25">
      <c r="B7" s="677">
        <v>4</v>
      </c>
      <c r="C7" s="678" t="s">
        <v>154</v>
      </c>
      <c r="D7" s="679"/>
      <c r="F7" s="678" t="s">
        <v>366</v>
      </c>
    </row>
    <row r="8" spans="1:18" ht="28" x14ac:dyDescent="0.2">
      <c r="B8" s="677">
        <v>5</v>
      </c>
      <c r="C8" s="678" t="s">
        <v>155</v>
      </c>
      <c r="E8" s="677">
        <v>4</v>
      </c>
      <c r="F8" s="678" t="s">
        <v>380</v>
      </c>
    </row>
    <row r="9" spans="1:18" ht="28" x14ac:dyDescent="0.25">
      <c r="B9" s="677">
        <v>6</v>
      </c>
      <c r="C9" s="678" t="s">
        <v>156</v>
      </c>
      <c r="F9" s="679" t="s">
        <v>381</v>
      </c>
    </row>
    <row r="10" spans="1:18" ht="28" x14ac:dyDescent="0.2">
      <c r="B10" s="677">
        <v>7</v>
      </c>
      <c r="C10" s="678" t="s">
        <v>157</v>
      </c>
      <c r="E10" s="677">
        <v>5</v>
      </c>
      <c r="F10" s="678" t="s">
        <v>367</v>
      </c>
    </row>
    <row r="11" spans="1:18" ht="28" x14ac:dyDescent="0.2">
      <c r="B11" s="677">
        <v>8</v>
      </c>
      <c r="C11" s="678" t="s">
        <v>158</v>
      </c>
      <c r="E11" s="677">
        <v>6</v>
      </c>
      <c r="F11" s="678" t="s">
        <v>368</v>
      </c>
    </row>
    <row r="12" spans="1:18" ht="28" x14ac:dyDescent="0.25">
      <c r="B12" s="677">
        <v>9</v>
      </c>
      <c r="C12" s="678" t="s">
        <v>159</v>
      </c>
      <c r="D12" s="679"/>
      <c r="E12" s="677"/>
      <c r="F12" s="678"/>
    </row>
    <row r="13" spans="1:18" ht="28" x14ac:dyDescent="0.25">
      <c r="B13" s="677">
        <v>10</v>
      </c>
      <c r="C13" s="678" t="s">
        <v>160</v>
      </c>
      <c r="D13" s="679"/>
    </row>
    <row r="14" spans="1:18" ht="28" x14ac:dyDescent="0.25">
      <c r="B14" s="677">
        <v>11</v>
      </c>
      <c r="C14" s="678" t="s">
        <v>161</v>
      </c>
      <c r="D14" s="679"/>
    </row>
    <row r="15" spans="1:18" ht="28" x14ac:dyDescent="0.25">
      <c r="B15" s="677">
        <v>12</v>
      </c>
      <c r="C15" s="678" t="s">
        <v>162</v>
      </c>
      <c r="D15" s="679"/>
    </row>
    <row r="16" spans="1:18" ht="28" x14ac:dyDescent="0.25">
      <c r="B16" s="677">
        <v>13</v>
      </c>
      <c r="C16" s="678" t="s">
        <v>163</v>
      </c>
      <c r="D16" s="679"/>
    </row>
    <row r="17" spans="1:9" ht="28" x14ac:dyDescent="0.25">
      <c r="B17" s="677">
        <v>14</v>
      </c>
      <c r="C17" s="678" t="s">
        <v>164</v>
      </c>
      <c r="D17" s="679"/>
    </row>
    <row r="18" spans="1:9" ht="28" x14ac:dyDescent="0.25">
      <c r="B18" s="677">
        <v>15</v>
      </c>
      <c r="C18" s="678" t="s">
        <v>165</v>
      </c>
      <c r="D18" s="679"/>
    </row>
    <row r="19" spans="1:9" ht="28" x14ac:dyDescent="0.25">
      <c r="B19" s="677">
        <v>16</v>
      </c>
      <c r="C19" s="678" t="s">
        <v>166</v>
      </c>
      <c r="D19" s="679"/>
    </row>
    <row r="20" spans="1:9" ht="31" x14ac:dyDescent="0.2">
      <c r="B20" s="680"/>
    </row>
    <row r="22" spans="1:9" ht="16" x14ac:dyDescent="0.2">
      <c r="B22" s="681"/>
    </row>
    <row r="23" spans="1:9" ht="16" x14ac:dyDescent="0.2">
      <c r="B23" s="681"/>
    </row>
    <row r="24" spans="1:9" ht="16" x14ac:dyDescent="0.2">
      <c r="A24" s="682"/>
      <c r="B24" s="682"/>
      <c r="C24" s="682"/>
      <c r="D24" s="682"/>
      <c r="E24" s="682"/>
      <c r="F24" s="682"/>
      <c r="G24" s="682"/>
      <c r="H24" s="682"/>
      <c r="I24" s="682"/>
    </row>
    <row r="25" spans="1:9" ht="16" x14ac:dyDescent="0.2">
      <c r="B25" s="681"/>
    </row>
  </sheetData>
  <sheetProtection sheet="1" objects="1" scenarios="1" selectLockedCells="1" selectUnlockedCells="1"/>
  <mergeCells count="2">
    <mergeCell ref="A2:C2"/>
    <mergeCell ref="E2:F2"/>
  </mergeCells>
  <pageMargins left="0.7" right="0.7" top="0.75" bottom="0.75" header="0.3" footer="0.3"/>
  <pageSetup scale="90" orientation="portrait" horizontalDpi="360" verticalDpi="360" r:id="rId1"/>
  <colBreaks count="1" manualBreakCount="1">
    <brk id="3"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9C937-9A90-4847-8B38-37DFD5B4277B}">
  <sheetPr>
    <tabColor theme="5"/>
    <pageSetUpPr fitToPage="1"/>
  </sheetPr>
  <dimension ref="B2:O150"/>
  <sheetViews>
    <sheetView showGridLines="0" showRowColHeaders="0" topLeftCell="A108" zoomScale="200" zoomScaleNormal="100" zoomScaleSheetLayoutView="106" workbookViewId="0"/>
  </sheetViews>
  <sheetFormatPr baseColWidth="10" defaultColWidth="9.33203125" defaultRowHeight="16" x14ac:dyDescent="0.2"/>
  <cols>
    <col min="1" max="1" width="4.33203125" style="651" customWidth="1"/>
    <col min="2" max="2" width="2.1640625" style="651" customWidth="1"/>
    <col min="3" max="3" width="1.6640625" style="651" customWidth="1"/>
    <col min="4" max="4" width="1.33203125" style="651" customWidth="1"/>
    <col min="5" max="5" width="3.5" style="651" customWidth="1"/>
    <col min="6" max="6" width="4.1640625" style="651" customWidth="1"/>
    <col min="7" max="7" width="3.33203125" style="651" customWidth="1"/>
    <col min="8" max="8" width="3.1640625" style="651" customWidth="1"/>
    <col min="9" max="9" width="5.5" style="651" customWidth="1"/>
    <col min="10" max="10" width="73.6640625" style="651" customWidth="1"/>
    <col min="11" max="11" width="3.1640625" style="651" customWidth="1"/>
    <col min="12" max="12" width="22.1640625" style="651" customWidth="1"/>
    <col min="13" max="16384" width="9.33203125" style="651"/>
  </cols>
  <sheetData>
    <row r="2" spans="2:15" x14ac:dyDescent="0.2">
      <c r="K2" s="712" t="s">
        <v>471</v>
      </c>
      <c r="L2" s="713"/>
      <c r="O2" s="714"/>
    </row>
    <row r="3" spans="2:15" ht="18.75" customHeight="1" x14ac:dyDescent="0.25">
      <c r="B3" s="941" t="s">
        <v>184</v>
      </c>
      <c r="C3" s="941"/>
      <c r="D3" s="941"/>
      <c r="E3" s="941"/>
      <c r="F3" s="941"/>
      <c r="G3" s="941"/>
      <c r="H3" s="941"/>
      <c r="I3" s="941"/>
      <c r="J3" s="941"/>
      <c r="K3" s="731"/>
      <c r="L3" s="732" t="s">
        <v>440</v>
      </c>
    </row>
    <row r="4" spans="2:15" ht="18.75" customHeight="1" x14ac:dyDescent="0.25">
      <c r="B4" s="941"/>
      <c r="C4" s="941"/>
      <c r="D4" s="941"/>
      <c r="E4" s="941"/>
      <c r="F4" s="941"/>
      <c r="G4" s="941"/>
      <c r="H4" s="941"/>
      <c r="I4" s="941"/>
      <c r="J4" s="941"/>
      <c r="K4" s="731"/>
      <c r="L4" s="732" t="s">
        <v>441</v>
      </c>
    </row>
    <row r="5" spans="2:15" ht="18.75" customHeight="1" x14ac:dyDescent="0.25">
      <c r="B5" s="941"/>
      <c r="C5" s="941"/>
      <c r="D5" s="941"/>
      <c r="E5" s="941"/>
      <c r="F5" s="941"/>
      <c r="G5" s="941"/>
      <c r="H5" s="941"/>
      <c r="I5" s="941"/>
      <c r="J5" s="941"/>
      <c r="K5" s="731"/>
      <c r="L5" s="744" t="s">
        <v>134</v>
      </c>
    </row>
    <row r="6" spans="2:15" ht="18.75" customHeight="1" x14ac:dyDescent="0.25">
      <c r="B6" s="941"/>
      <c r="C6" s="941"/>
      <c r="D6" s="941"/>
      <c r="E6" s="941"/>
      <c r="F6" s="941"/>
      <c r="G6" s="941"/>
      <c r="H6" s="941"/>
      <c r="I6" s="941"/>
      <c r="J6" s="941"/>
      <c r="K6" s="731"/>
      <c r="L6" s="732" t="s">
        <v>442</v>
      </c>
    </row>
    <row r="7" spans="2:15" ht="19.5" customHeight="1" x14ac:dyDescent="0.25">
      <c r="B7" s="941"/>
      <c r="C7" s="941"/>
      <c r="D7" s="941"/>
      <c r="E7" s="941"/>
      <c r="F7" s="941"/>
      <c r="G7" s="941"/>
      <c r="H7" s="941"/>
      <c r="I7" s="941"/>
      <c r="J7" s="941"/>
      <c r="K7" s="731"/>
      <c r="L7" s="732" t="s">
        <v>443</v>
      </c>
    </row>
    <row r="8" spans="2:15" ht="19.5" customHeight="1" x14ac:dyDescent="0.25">
      <c r="B8" s="941"/>
      <c r="C8" s="941"/>
      <c r="D8" s="941"/>
      <c r="E8" s="941"/>
      <c r="F8" s="941"/>
      <c r="G8" s="941"/>
      <c r="H8" s="941"/>
      <c r="I8" s="941"/>
      <c r="J8" s="941"/>
      <c r="K8" s="733"/>
      <c r="L8" s="744" t="s">
        <v>444</v>
      </c>
    </row>
    <row r="9" spans="2:15" s="92" customFormat="1" ht="19.5" customHeight="1" x14ac:dyDescent="0.25">
      <c r="B9" s="941"/>
      <c r="C9" s="941"/>
      <c r="D9" s="941"/>
      <c r="E9" s="941"/>
      <c r="F9" s="941"/>
      <c r="G9" s="941"/>
      <c r="H9" s="941"/>
      <c r="I9" s="941"/>
      <c r="J9" s="941"/>
      <c r="K9" s="729"/>
      <c r="L9" s="732" t="s">
        <v>445</v>
      </c>
    </row>
    <row r="10" spans="2:15" s="92" customFormat="1" ht="19.5" customHeight="1" x14ac:dyDescent="0.25">
      <c r="B10" s="941"/>
      <c r="C10" s="941"/>
      <c r="D10" s="941"/>
      <c r="E10" s="941"/>
      <c r="F10" s="941"/>
      <c r="G10" s="941"/>
      <c r="H10" s="941"/>
      <c r="I10" s="941"/>
      <c r="J10" s="941"/>
      <c r="K10" s="729"/>
      <c r="L10" s="744" t="s">
        <v>446</v>
      </c>
    </row>
    <row r="11" spans="2:15" s="92" customFormat="1" ht="19.5" customHeight="1" x14ac:dyDescent="0.25">
      <c r="B11" s="941"/>
      <c r="C11" s="941"/>
      <c r="D11" s="941"/>
      <c r="E11" s="941"/>
      <c r="F11" s="941"/>
      <c r="G11" s="941"/>
      <c r="H11" s="941"/>
      <c r="I11" s="941"/>
      <c r="J11" s="941"/>
      <c r="K11" s="729"/>
      <c r="L11" s="744" t="s">
        <v>447</v>
      </c>
    </row>
    <row r="12" spans="2:15" s="92" customFormat="1" ht="19.5" customHeight="1" x14ac:dyDescent="0.25">
      <c r="B12" s="941"/>
      <c r="C12" s="941"/>
      <c r="D12" s="941"/>
      <c r="E12" s="941"/>
      <c r="F12" s="941"/>
      <c r="G12" s="941"/>
      <c r="H12" s="941"/>
      <c r="I12" s="941"/>
      <c r="J12" s="941"/>
      <c r="K12" s="729"/>
      <c r="L12" s="729"/>
    </row>
    <row r="13" spans="2:15" ht="21" x14ac:dyDescent="0.25">
      <c r="B13" s="724">
        <v>1</v>
      </c>
      <c r="C13" s="724" t="s">
        <v>387</v>
      </c>
      <c r="D13" s="715"/>
      <c r="E13" s="715"/>
      <c r="F13" s="715"/>
      <c r="G13" s="715"/>
      <c r="H13" s="715"/>
      <c r="I13" s="715"/>
      <c r="J13" s="715"/>
      <c r="K13" s="715"/>
      <c r="L13" s="715"/>
    </row>
    <row r="14" spans="2:15" x14ac:dyDescent="0.2">
      <c r="D14" s="453" t="s">
        <v>388</v>
      </c>
    </row>
    <row r="15" spans="2:15" s="716" customFormat="1" ht="23.25" customHeight="1" x14ac:dyDescent="0.15">
      <c r="E15" s="736" t="s">
        <v>167</v>
      </c>
    </row>
    <row r="16" spans="2:15" s="716" customFormat="1" ht="23.25" customHeight="1" x14ac:dyDescent="0.15">
      <c r="E16" s="586" t="s">
        <v>389</v>
      </c>
    </row>
    <row r="17" spans="4:14" s="716" customFormat="1" ht="23.25" customHeight="1" x14ac:dyDescent="0.15">
      <c r="E17" s="586" t="s">
        <v>390</v>
      </c>
    </row>
    <row r="18" spans="4:14" s="716" customFormat="1" ht="23.25" customHeight="1" x14ac:dyDescent="0.15">
      <c r="E18" s="736" t="s">
        <v>168</v>
      </c>
    </row>
    <row r="19" spans="4:14" s="716" customFormat="1" ht="37.5" customHeight="1" x14ac:dyDescent="0.15">
      <c r="E19" s="736"/>
      <c r="F19" s="939" t="s">
        <v>391</v>
      </c>
      <c r="G19" s="939"/>
      <c r="H19" s="939"/>
      <c r="I19" s="939"/>
      <c r="J19" s="939"/>
      <c r="K19" s="939"/>
      <c r="L19" s="939"/>
    </row>
    <row r="20" spans="4:14" x14ac:dyDescent="0.2">
      <c r="F20" s="737" t="s">
        <v>169</v>
      </c>
    </row>
    <row r="21" spans="4:14" s="716" customFormat="1" x14ac:dyDescent="0.15">
      <c r="F21" s="738" t="s">
        <v>459</v>
      </c>
    </row>
    <row r="22" spans="4:14" s="716" customFormat="1" x14ac:dyDescent="0.15">
      <c r="F22" s="738" t="s">
        <v>460</v>
      </c>
      <c r="G22" s="717"/>
      <c r="H22" s="718"/>
      <c r="I22" s="718"/>
      <c r="J22" s="718"/>
      <c r="K22" s="718"/>
      <c r="L22" s="718"/>
    </row>
    <row r="23" spans="4:14" x14ac:dyDescent="0.2">
      <c r="F23" s="738" t="s">
        <v>461</v>
      </c>
      <c r="G23" s="717"/>
      <c r="H23" s="453"/>
      <c r="I23" s="453"/>
      <c r="J23" s="453"/>
      <c r="K23" s="453"/>
      <c r="L23" s="453"/>
      <c r="M23" s="719"/>
      <c r="N23" s="719"/>
    </row>
    <row r="24" spans="4:14" ht="17.25" customHeight="1" x14ac:dyDescent="0.2">
      <c r="E24" s="723" t="s">
        <v>392</v>
      </c>
      <c r="G24" s="717"/>
      <c r="H24" s="453"/>
      <c r="I24" s="453"/>
      <c r="J24" s="453"/>
      <c r="K24" s="453"/>
      <c r="L24" s="453"/>
    </row>
    <row r="25" spans="4:14" x14ac:dyDescent="0.2">
      <c r="F25" s="739" t="s">
        <v>462</v>
      </c>
    </row>
    <row r="26" spans="4:14" ht="32.25" customHeight="1" x14ac:dyDescent="0.2">
      <c r="F26" s="942" t="s">
        <v>463</v>
      </c>
      <c r="G26" s="942"/>
      <c r="H26" s="942"/>
      <c r="I26" s="942"/>
      <c r="J26" s="942"/>
      <c r="K26" s="942"/>
      <c r="L26" s="942"/>
    </row>
    <row r="27" spans="4:14" s="716" customFormat="1" ht="32.25" customHeight="1" x14ac:dyDescent="0.15">
      <c r="F27" s="942" t="s">
        <v>464</v>
      </c>
      <c r="G27" s="942"/>
      <c r="H27" s="942"/>
      <c r="I27" s="942"/>
      <c r="J27" s="942"/>
      <c r="K27" s="942"/>
      <c r="L27" s="942"/>
    </row>
    <row r="28" spans="4:14" s="92" customFormat="1" ht="18.5" customHeight="1" x14ac:dyDescent="0.2">
      <c r="D28" s="453"/>
      <c r="E28" s="723" t="s">
        <v>393</v>
      </c>
      <c r="F28" s="453"/>
      <c r="G28" s="453"/>
      <c r="H28" s="453"/>
      <c r="I28" s="453"/>
      <c r="J28" s="453"/>
      <c r="K28" s="453"/>
      <c r="L28" s="453"/>
    </row>
    <row r="29" spans="4:14" s="92" customFormat="1" x14ac:dyDescent="0.2">
      <c r="D29" s="453"/>
      <c r="E29" s="453"/>
      <c r="F29" s="739" t="s">
        <v>465</v>
      </c>
      <c r="G29" s="453"/>
      <c r="H29" s="453"/>
      <c r="I29" s="453"/>
      <c r="J29" s="453"/>
      <c r="K29" s="453"/>
      <c r="L29" s="453"/>
    </row>
    <row r="30" spans="4:14" s="92" customFormat="1" ht="30.75" customHeight="1" x14ac:dyDescent="0.2">
      <c r="D30" s="453"/>
      <c r="E30" s="453"/>
      <c r="F30" s="942" t="s">
        <v>466</v>
      </c>
      <c r="G30" s="942"/>
      <c r="H30" s="942"/>
      <c r="I30" s="942"/>
      <c r="J30" s="942"/>
      <c r="K30" s="942"/>
      <c r="L30" s="942"/>
    </row>
    <row r="31" spans="4:14" s="92" customFormat="1" x14ac:dyDescent="0.2">
      <c r="D31" s="453"/>
      <c r="E31" s="453"/>
      <c r="F31" s="739" t="s">
        <v>467</v>
      </c>
      <c r="G31" s="453"/>
      <c r="H31" s="453"/>
      <c r="I31" s="453"/>
      <c r="J31" s="453"/>
      <c r="K31" s="453"/>
      <c r="L31" s="453"/>
    </row>
    <row r="32" spans="4:14" s="92" customFormat="1" x14ac:dyDescent="0.2">
      <c r="D32" s="453"/>
      <c r="E32" s="453"/>
      <c r="F32" s="739" t="s">
        <v>468</v>
      </c>
      <c r="G32" s="453"/>
      <c r="H32" s="453"/>
      <c r="I32" s="453"/>
      <c r="J32" s="453"/>
      <c r="K32" s="453"/>
      <c r="L32" s="453"/>
    </row>
    <row r="33" spans="2:12" s="92" customFormat="1" x14ac:dyDescent="0.2">
      <c r="D33" s="453"/>
      <c r="E33" s="453"/>
      <c r="F33" s="942" t="s">
        <v>469</v>
      </c>
      <c r="G33" s="942"/>
      <c r="H33" s="942"/>
      <c r="I33" s="942"/>
      <c r="J33" s="942"/>
      <c r="K33" s="942"/>
      <c r="L33" s="942"/>
    </row>
    <row r="34" spans="2:12" s="92" customFormat="1" x14ac:dyDescent="0.2">
      <c r="D34" s="453"/>
      <c r="E34" s="453"/>
      <c r="F34" s="739" t="s">
        <v>470</v>
      </c>
      <c r="G34" s="453"/>
      <c r="H34" s="453"/>
      <c r="I34" s="453"/>
      <c r="J34" s="453"/>
      <c r="K34" s="453"/>
      <c r="L34" s="453"/>
    </row>
    <row r="35" spans="2:12" s="92" customFormat="1" ht="14" x14ac:dyDescent="0.2"/>
    <row r="36" spans="2:12" ht="21" x14ac:dyDescent="0.25">
      <c r="B36" s="724">
        <v>2</v>
      </c>
      <c r="C36" s="724" t="s">
        <v>394</v>
      </c>
      <c r="D36" s="715"/>
      <c r="E36" s="715"/>
      <c r="F36" s="715"/>
      <c r="G36" s="715"/>
      <c r="H36" s="715"/>
      <c r="I36" s="715"/>
      <c r="J36" s="715"/>
      <c r="K36" s="715"/>
      <c r="L36" s="715"/>
    </row>
    <row r="37" spans="2:12" x14ac:dyDescent="0.2">
      <c r="D37" s="940" t="s">
        <v>395</v>
      </c>
      <c r="E37" s="940"/>
      <c r="F37" s="940"/>
      <c r="G37" s="940"/>
      <c r="H37" s="940"/>
      <c r="I37" s="940"/>
      <c r="J37" s="940"/>
      <c r="K37" s="940"/>
      <c r="L37" s="940"/>
    </row>
    <row r="38" spans="2:12" ht="7.5" customHeight="1" x14ac:dyDescent="0.2">
      <c r="D38" s="712"/>
    </row>
    <row r="39" spans="2:12" x14ac:dyDescent="0.2">
      <c r="D39" s="726"/>
      <c r="E39" s="651" t="s">
        <v>400</v>
      </c>
    </row>
    <row r="40" spans="2:12" x14ac:dyDescent="0.2">
      <c r="D40" s="726"/>
      <c r="F40" s="720" t="s">
        <v>170</v>
      </c>
      <c r="G40" s="940" t="s">
        <v>401</v>
      </c>
      <c r="H40" s="940"/>
      <c r="I40" s="940"/>
      <c r="J40" s="940"/>
      <c r="K40" s="940"/>
      <c r="L40" s="940"/>
    </row>
    <row r="41" spans="2:12" x14ac:dyDescent="0.2">
      <c r="D41" s="726"/>
      <c r="F41" s="720" t="s">
        <v>170</v>
      </c>
      <c r="G41" s="586" t="s">
        <v>402</v>
      </c>
    </row>
    <row r="42" spans="2:12" x14ac:dyDescent="0.2">
      <c r="E42" s="712"/>
      <c r="F42" s="720" t="s">
        <v>170</v>
      </c>
      <c r="G42" s="586" t="s">
        <v>403</v>
      </c>
    </row>
    <row r="43" spans="2:12" x14ac:dyDescent="0.2">
      <c r="F43" s="720" t="s">
        <v>170</v>
      </c>
      <c r="G43" s="586" t="s">
        <v>406</v>
      </c>
    </row>
    <row r="44" spans="2:12" ht="30.75" customHeight="1" x14ac:dyDescent="0.2">
      <c r="F44" s="720"/>
      <c r="G44" s="735" t="s">
        <v>177</v>
      </c>
      <c r="I44" s="939" t="s">
        <v>177</v>
      </c>
      <c r="J44" s="939"/>
      <c r="K44" s="939"/>
      <c r="L44" s="939"/>
    </row>
    <row r="45" spans="2:12" x14ac:dyDescent="0.2">
      <c r="F45" s="720" t="s">
        <v>170</v>
      </c>
      <c r="G45" s="586" t="s">
        <v>171</v>
      </c>
    </row>
    <row r="46" spans="2:12" x14ac:dyDescent="0.2">
      <c r="F46" s="720" t="s">
        <v>170</v>
      </c>
      <c r="G46" s="586" t="s">
        <v>455</v>
      </c>
    </row>
    <row r="47" spans="2:12" x14ac:dyDescent="0.2">
      <c r="F47" s="720" t="s">
        <v>170</v>
      </c>
      <c r="G47" s="586" t="s">
        <v>404</v>
      </c>
    </row>
    <row r="48" spans="2:12" x14ac:dyDescent="0.2">
      <c r="D48" s="726" t="s">
        <v>396</v>
      </c>
    </row>
    <row r="49" spans="4:12" x14ac:dyDescent="0.2">
      <c r="D49" s="726"/>
      <c r="E49" s="586" t="s">
        <v>175</v>
      </c>
    </row>
    <row r="50" spans="4:12" x14ac:dyDescent="0.2">
      <c r="D50" s="726"/>
      <c r="E50" s="586" t="s">
        <v>397</v>
      </c>
    </row>
    <row r="51" spans="4:12" ht="33.75" customHeight="1" x14ac:dyDescent="0.2">
      <c r="D51" s="726"/>
      <c r="E51" s="940" t="s">
        <v>398</v>
      </c>
      <c r="F51" s="940"/>
      <c r="G51" s="940"/>
      <c r="H51" s="940"/>
      <c r="I51" s="940"/>
      <c r="J51" s="940"/>
      <c r="K51" s="940"/>
      <c r="L51" s="940"/>
    </row>
    <row r="52" spans="4:12" x14ac:dyDescent="0.2">
      <c r="D52" s="726"/>
      <c r="E52" s="586" t="s">
        <v>407</v>
      </c>
    </row>
    <row r="53" spans="4:12" ht="31.5" customHeight="1" x14ac:dyDescent="0.2">
      <c r="D53" s="726"/>
      <c r="E53" s="940" t="s">
        <v>399</v>
      </c>
      <c r="F53" s="940"/>
      <c r="G53" s="940"/>
      <c r="H53" s="940"/>
      <c r="I53" s="940"/>
      <c r="J53" s="940"/>
      <c r="K53" s="940"/>
      <c r="L53" s="940"/>
    </row>
    <row r="54" spans="4:12" ht="31.5" customHeight="1" x14ac:dyDescent="0.2">
      <c r="D54" s="726"/>
      <c r="E54" s="940" t="s">
        <v>408</v>
      </c>
      <c r="F54" s="940"/>
      <c r="G54" s="940"/>
      <c r="H54" s="940"/>
      <c r="I54" s="940"/>
      <c r="J54" s="940"/>
      <c r="K54" s="940"/>
      <c r="L54" s="940"/>
    </row>
    <row r="55" spans="4:12" x14ac:dyDescent="0.2">
      <c r="D55" s="726"/>
      <c r="E55" s="586" t="s">
        <v>176</v>
      </c>
    </row>
    <row r="56" spans="4:12" ht="4.5" customHeight="1" x14ac:dyDescent="0.2">
      <c r="D56" s="726"/>
      <c r="E56" s="586"/>
    </row>
    <row r="57" spans="4:12" x14ac:dyDescent="0.2">
      <c r="D57" s="726"/>
      <c r="E57" s="651" t="s">
        <v>409</v>
      </c>
    </row>
    <row r="58" spans="4:12" ht="5.25" customHeight="1" x14ac:dyDescent="0.2">
      <c r="F58" s="720"/>
      <c r="G58" s="721"/>
      <c r="H58" s="721"/>
      <c r="I58" s="721"/>
      <c r="J58" s="721"/>
      <c r="K58" s="721"/>
    </row>
    <row r="59" spans="4:12" s="92" customFormat="1" x14ac:dyDescent="0.2">
      <c r="D59" s="726" t="s">
        <v>405</v>
      </c>
      <c r="E59" s="453"/>
      <c r="F59" s="453"/>
      <c r="G59" s="453"/>
      <c r="H59" s="453"/>
      <c r="I59" s="453"/>
      <c r="J59" s="453"/>
      <c r="K59" s="453"/>
      <c r="L59" s="453"/>
    </row>
    <row r="60" spans="4:12" s="92" customFormat="1" ht="31.5" customHeight="1" x14ac:dyDescent="0.2">
      <c r="D60" s="726"/>
      <c r="E60" s="940" t="s">
        <v>410</v>
      </c>
      <c r="F60" s="940"/>
      <c r="G60" s="940"/>
      <c r="H60" s="940"/>
      <c r="I60" s="940"/>
      <c r="J60" s="940"/>
      <c r="K60" s="940"/>
      <c r="L60" s="940"/>
    </row>
    <row r="61" spans="4:12" s="92" customFormat="1" x14ac:dyDescent="0.2">
      <c r="D61" s="726"/>
      <c r="E61" s="586" t="s">
        <v>411</v>
      </c>
      <c r="F61" s="453"/>
      <c r="G61" s="453"/>
      <c r="H61" s="453"/>
      <c r="I61" s="453"/>
      <c r="J61" s="453"/>
      <c r="K61" s="453"/>
      <c r="L61" s="453"/>
    </row>
    <row r="62" spans="4:12" s="92" customFormat="1" x14ac:dyDescent="0.2">
      <c r="D62" s="726"/>
      <c r="E62" s="586" t="s">
        <v>172</v>
      </c>
      <c r="F62" s="453"/>
      <c r="G62" s="453"/>
      <c r="H62" s="453"/>
      <c r="I62" s="453"/>
      <c r="J62" s="453"/>
      <c r="K62" s="453"/>
      <c r="L62" s="453"/>
    </row>
    <row r="63" spans="4:12" s="92" customFormat="1" x14ac:dyDescent="0.2">
      <c r="D63" s="586"/>
      <c r="E63" s="586" t="s">
        <v>173</v>
      </c>
      <c r="F63" s="453"/>
      <c r="G63" s="453"/>
      <c r="H63" s="453"/>
      <c r="I63" s="453"/>
      <c r="J63" s="453"/>
      <c r="K63" s="453"/>
      <c r="L63" s="453"/>
    </row>
    <row r="64" spans="4:12" s="92" customFormat="1" x14ac:dyDescent="0.2">
      <c r="D64" s="726"/>
      <c r="E64" s="586" t="s">
        <v>409</v>
      </c>
      <c r="F64" s="453"/>
      <c r="G64" s="453"/>
      <c r="H64" s="453"/>
      <c r="I64" s="453"/>
      <c r="J64" s="453"/>
      <c r="K64" s="453"/>
      <c r="L64" s="453"/>
    </row>
    <row r="65" spans="4:12" s="92" customFormat="1" x14ac:dyDescent="0.2">
      <c r="D65" s="726"/>
      <c r="E65" s="586" t="s">
        <v>456</v>
      </c>
      <c r="F65" s="453"/>
      <c r="G65" s="453"/>
      <c r="H65" s="453"/>
      <c r="I65" s="453"/>
      <c r="J65" s="453"/>
      <c r="K65" s="453"/>
      <c r="L65" s="453"/>
    </row>
    <row r="66" spans="4:12" s="92" customFormat="1" x14ac:dyDescent="0.2">
      <c r="D66" s="726"/>
      <c r="E66" s="586" t="s">
        <v>404</v>
      </c>
      <c r="F66" s="453"/>
      <c r="G66" s="453"/>
      <c r="H66" s="453"/>
      <c r="I66" s="453"/>
      <c r="J66" s="453"/>
      <c r="K66" s="453"/>
      <c r="L66" s="453"/>
    </row>
    <row r="67" spans="4:12" s="92" customFormat="1" ht="5.25" customHeight="1" x14ac:dyDescent="0.2">
      <c r="D67" s="726"/>
      <c r="E67" s="586"/>
      <c r="F67" s="453"/>
      <c r="G67" s="453"/>
      <c r="H67" s="453"/>
      <c r="I67" s="453"/>
      <c r="J67" s="453"/>
      <c r="K67" s="453"/>
      <c r="L67" s="453"/>
    </row>
    <row r="68" spans="4:12" s="92" customFormat="1" x14ac:dyDescent="0.2">
      <c r="D68" s="651"/>
      <c r="E68" s="586" t="s">
        <v>456</v>
      </c>
      <c r="F68" s="453"/>
      <c r="G68" s="453"/>
      <c r="H68" s="453"/>
      <c r="I68" s="453"/>
      <c r="J68" s="453"/>
      <c r="K68" s="453"/>
      <c r="L68" s="453"/>
    </row>
    <row r="69" spans="4:12" s="92" customFormat="1" x14ac:dyDescent="0.2">
      <c r="D69" s="727" t="s">
        <v>206</v>
      </c>
      <c r="E69" s="651"/>
      <c r="F69" s="453"/>
      <c r="G69" s="453"/>
      <c r="H69" s="453"/>
      <c r="I69" s="453"/>
      <c r="J69" s="453"/>
      <c r="K69" s="453"/>
      <c r="L69" s="453"/>
    </row>
    <row r="70" spans="4:12" x14ac:dyDescent="0.2">
      <c r="E70" s="586" t="s">
        <v>412</v>
      </c>
    </row>
    <row r="71" spans="4:12" x14ac:dyDescent="0.2">
      <c r="E71" s="586" t="s">
        <v>413</v>
      </c>
      <c r="F71" s="720"/>
    </row>
    <row r="72" spans="4:12" x14ac:dyDescent="0.2">
      <c r="E72" s="586" t="s">
        <v>409</v>
      </c>
      <c r="F72" s="720"/>
    </row>
    <row r="73" spans="4:12" x14ac:dyDescent="0.2">
      <c r="E73" s="736" t="s">
        <v>174</v>
      </c>
      <c r="F73" s="720"/>
    </row>
    <row r="74" spans="4:12" x14ac:dyDescent="0.2">
      <c r="E74" s="586" t="s">
        <v>414</v>
      </c>
      <c r="F74" s="720"/>
      <c r="G74" s="725"/>
      <c r="H74" s="725"/>
      <c r="I74" s="725"/>
      <c r="J74" s="725"/>
      <c r="K74" s="725"/>
    </row>
    <row r="75" spans="4:12" x14ac:dyDescent="0.2">
      <c r="E75" s="586" t="s">
        <v>415</v>
      </c>
      <c r="F75" s="720"/>
      <c r="G75" s="725"/>
      <c r="H75" s="725"/>
      <c r="I75" s="725"/>
      <c r="J75" s="725"/>
      <c r="K75" s="725"/>
    </row>
    <row r="76" spans="4:12" x14ac:dyDescent="0.2">
      <c r="E76" s="940" t="s">
        <v>457</v>
      </c>
      <c r="F76" s="940"/>
      <c r="G76" s="940"/>
      <c r="H76" s="940"/>
      <c r="I76" s="940"/>
      <c r="J76" s="940"/>
      <c r="K76" s="940"/>
      <c r="L76" s="940"/>
    </row>
    <row r="77" spans="4:12" x14ac:dyDescent="0.2">
      <c r="E77" s="940"/>
      <c r="F77" s="940"/>
      <c r="G77" s="940"/>
      <c r="H77" s="940"/>
      <c r="I77" s="940"/>
      <c r="J77" s="940"/>
      <c r="K77" s="940"/>
      <c r="L77" s="940"/>
    </row>
    <row r="78" spans="4:12" x14ac:dyDescent="0.2">
      <c r="D78" s="727" t="s">
        <v>416</v>
      </c>
      <c r="E78" s="734"/>
      <c r="F78" s="734"/>
      <c r="G78" s="734"/>
      <c r="H78" s="734"/>
      <c r="I78" s="734"/>
      <c r="J78" s="734"/>
      <c r="K78" s="734"/>
      <c r="L78" s="734"/>
    </row>
    <row r="79" spans="4:12" x14ac:dyDescent="0.2">
      <c r="D79" s="726"/>
      <c r="E79" s="586" t="s">
        <v>417</v>
      </c>
      <c r="F79" s="734"/>
      <c r="G79" s="734"/>
      <c r="H79" s="734"/>
      <c r="I79" s="734"/>
      <c r="J79" s="734"/>
      <c r="K79" s="734"/>
      <c r="L79" s="734"/>
    </row>
    <row r="80" spans="4:12" x14ac:dyDescent="0.2">
      <c r="E80" s="586" t="s">
        <v>458</v>
      </c>
      <c r="F80" s="734"/>
      <c r="G80" s="734"/>
      <c r="H80" s="734"/>
      <c r="I80" s="734"/>
      <c r="J80" s="734"/>
      <c r="K80" s="734"/>
      <c r="L80" s="734"/>
    </row>
    <row r="81" spans="2:12" x14ac:dyDescent="0.2">
      <c r="E81" s="940" t="s">
        <v>418</v>
      </c>
      <c r="F81" s="940"/>
      <c r="G81" s="940"/>
      <c r="H81" s="940"/>
      <c r="I81" s="940"/>
      <c r="J81" s="940"/>
      <c r="K81" s="940"/>
      <c r="L81" s="940"/>
    </row>
    <row r="82" spans="2:12" x14ac:dyDescent="0.2">
      <c r="E82" s="586" t="s">
        <v>419</v>
      </c>
      <c r="F82" s="734"/>
      <c r="G82" s="734"/>
      <c r="H82" s="734"/>
      <c r="I82" s="734"/>
      <c r="J82" s="734"/>
      <c r="K82" s="734"/>
      <c r="L82" s="734"/>
    </row>
    <row r="83" spans="2:12" x14ac:dyDescent="0.2">
      <c r="E83" s="586" t="s">
        <v>420</v>
      </c>
      <c r="F83" s="734"/>
      <c r="G83" s="734"/>
      <c r="H83" s="734"/>
      <c r="I83" s="734"/>
      <c r="J83" s="734"/>
      <c r="K83" s="734"/>
      <c r="L83" s="734"/>
    </row>
    <row r="84" spans="2:12" x14ac:dyDescent="0.2">
      <c r="E84" s="586" t="s">
        <v>421</v>
      </c>
      <c r="F84" s="734"/>
      <c r="G84" s="734"/>
      <c r="H84" s="734"/>
      <c r="I84" s="734"/>
      <c r="J84" s="734"/>
      <c r="K84" s="734"/>
      <c r="L84" s="734"/>
    </row>
    <row r="85" spans="2:12" x14ac:dyDescent="0.2">
      <c r="E85" s="586" t="s">
        <v>422</v>
      </c>
      <c r="F85" s="734"/>
      <c r="G85" s="734"/>
      <c r="H85" s="734"/>
      <c r="I85" s="734"/>
      <c r="J85" s="734"/>
      <c r="K85" s="734"/>
      <c r="L85" s="734"/>
    </row>
    <row r="86" spans="2:12" x14ac:dyDescent="0.2">
      <c r="D86" s="726" t="s">
        <v>134</v>
      </c>
      <c r="E86" s="734"/>
      <c r="F86" s="734"/>
      <c r="G86" s="734"/>
      <c r="H86" s="734"/>
      <c r="I86" s="734"/>
      <c r="J86" s="734"/>
      <c r="K86" s="734"/>
      <c r="L86" s="734"/>
    </row>
    <row r="87" spans="2:12" ht="30" customHeight="1" x14ac:dyDescent="0.2">
      <c r="E87" s="940" t="s">
        <v>454</v>
      </c>
      <c r="F87" s="940"/>
      <c r="G87" s="940"/>
      <c r="H87" s="940"/>
      <c r="I87" s="940"/>
      <c r="J87" s="940"/>
      <c r="K87" s="940"/>
      <c r="L87" s="940"/>
    </row>
    <row r="88" spans="2:12" ht="8.25" customHeight="1" x14ac:dyDescent="0.2">
      <c r="H88" s="722"/>
    </row>
    <row r="89" spans="2:12" ht="21" x14ac:dyDescent="0.25">
      <c r="B89" s="724">
        <v>3</v>
      </c>
      <c r="C89" s="724" t="s">
        <v>448</v>
      </c>
      <c r="D89" s="715"/>
      <c r="E89" s="715"/>
      <c r="F89" s="715"/>
      <c r="G89" s="715"/>
      <c r="H89" s="715"/>
      <c r="I89" s="715"/>
      <c r="J89" s="715"/>
      <c r="K89" s="715"/>
      <c r="L89" s="715"/>
    </row>
    <row r="90" spans="2:12" ht="28.5" customHeight="1" x14ac:dyDescent="0.2">
      <c r="D90" s="940" t="s">
        <v>449</v>
      </c>
      <c r="E90" s="940"/>
      <c r="F90" s="940"/>
      <c r="G90" s="940"/>
      <c r="H90" s="940"/>
      <c r="I90" s="940"/>
      <c r="J90" s="940"/>
      <c r="K90" s="940"/>
      <c r="L90" s="940"/>
    </row>
    <row r="91" spans="2:12" x14ac:dyDescent="0.2">
      <c r="D91" s="940" t="s">
        <v>450</v>
      </c>
      <c r="E91" s="940"/>
      <c r="F91" s="940"/>
      <c r="G91" s="940"/>
      <c r="H91" s="940"/>
      <c r="I91" s="940"/>
      <c r="J91" s="940"/>
      <c r="K91" s="940"/>
      <c r="L91" s="940"/>
    </row>
    <row r="92" spans="2:12" x14ac:dyDescent="0.2">
      <c r="D92" s="940" t="s">
        <v>451</v>
      </c>
      <c r="E92" s="940"/>
      <c r="F92" s="940"/>
      <c r="G92" s="940"/>
      <c r="H92" s="940"/>
      <c r="I92" s="940"/>
      <c r="J92" s="940"/>
      <c r="K92" s="940"/>
      <c r="L92" s="940"/>
    </row>
    <row r="93" spans="2:12" customFormat="1" ht="18" customHeight="1" x14ac:dyDescent="0.15"/>
    <row r="94" spans="2:12" ht="21" x14ac:dyDescent="0.25">
      <c r="B94" s="724">
        <v>4</v>
      </c>
      <c r="C94" s="724" t="s">
        <v>423</v>
      </c>
      <c r="D94" s="715"/>
      <c r="E94" s="715"/>
      <c r="F94" s="715"/>
      <c r="G94" s="715"/>
      <c r="H94" s="715"/>
      <c r="I94" s="715"/>
      <c r="J94" s="715"/>
      <c r="K94" s="715"/>
      <c r="L94" s="715"/>
    </row>
    <row r="95" spans="2:12" ht="33" customHeight="1" x14ac:dyDescent="0.2">
      <c r="C95" s="725"/>
      <c r="D95" s="939" t="s">
        <v>424</v>
      </c>
      <c r="E95" s="939"/>
      <c r="F95" s="939"/>
      <c r="G95" s="939"/>
      <c r="H95" s="939"/>
      <c r="I95" s="939"/>
      <c r="J95" s="939"/>
      <c r="K95" s="939"/>
      <c r="L95" s="939"/>
    </row>
    <row r="96" spans="2:12" x14ac:dyDescent="0.2">
      <c r="E96" s="586" t="s">
        <v>178</v>
      </c>
    </row>
    <row r="97" spans="2:12" x14ac:dyDescent="0.2">
      <c r="E97" s="586" t="s">
        <v>425</v>
      </c>
    </row>
    <row r="98" spans="2:12" x14ac:dyDescent="0.2">
      <c r="E98" s="586" t="s">
        <v>426</v>
      </c>
    </row>
    <row r="99" spans="2:12" x14ac:dyDescent="0.2">
      <c r="E99" s="586" t="s">
        <v>179</v>
      </c>
    </row>
    <row r="100" spans="2:12" x14ac:dyDescent="0.2">
      <c r="E100" s="586" t="s">
        <v>180</v>
      </c>
    </row>
    <row r="101" spans="2:12" x14ac:dyDescent="0.2">
      <c r="E101" s="586" t="s">
        <v>181</v>
      </c>
    </row>
    <row r="102" spans="2:12" x14ac:dyDescent="0.2">
      <c r="E102" s="586" t="s">
        <v>182</v>
      </c>
    </row>
    <row r="103" spans="2:12" x14ac:dyDescent="0.2">
      <c r="E103" s="586" t="s">
        <v>183</v>
      </c>
    </row>
    <row r="105" spans="2:12" s="453" customFormat="1" ht="19.5" customHeight="1" x14ac:dyDescent="0.25">
      <c r="B105" s="724">
        <v>5</v>
      </c>
      <c r="C105" s="724" t="s">
        <v>427</v>
      </c>
      <c r="D105" s="715"/>
      <c r="E105" s="715"/>
      <c r="F105" s="715"/>
      <c r="G105" s="715"/>
      <c r="H105" s="715"/>
      <c r="I105" s="715"/>
      <c r="J105" s="715"/>
      <c r="K105" s="715"/>
      <c r="L105" s="715"/>
    </row>
    <row r="106" spans="2:12" s="453" customFormat="1" ht="31.5" customHeight="1" x14ac:dyDescent="0.2">
      <c r="D106" s="940" t="s">
        <v>428</v>
      </c>
      <c r="E106" s="940"/>
      <c r="F106" s="940"/>
      <c r="G106" s="940"/>
      <c r="H106" s="940"/>
      <c r="I106" s="940"/>
      <c r="J106" s="940"/>
      <c r="K106" s="940"/>
      <c r="L106" s="940"/>
    </row>
    <row r="107" spans="2:12" s="453" customFormat="1" ht="48" customHeight="1" x14ac:dyDescent="0.2">
      <c r="D107" s="940" t="s">
        <v>429</v>
      </c>
      <c r="E107" s="940"/>
      <c r="F107" s="940"/>
      <c r="G107" s="940"/>
      <c r="H107" s="940"/>
      <c r="I107" s="940"/>
      <c r="J107" s="940"/>
      <c r="K107" s="940"/>
      <c r="L107" s="940"/>
    </row>
    <row r="108" spans="2:12" s="453" customFormat="1" ht="33" customHeight="1" x14ac:dyDescent="0.2">
      <c r="D108" s="940" t="s">
        <v>431</v>
      </c>
      <c r="E108" s="940"/>
      <c r="F108" s="940"/>
      <c r="G108" s="940"/>
      <c r="H108" s="940"/>
      <c r="I108" s="940"/>
      <c r="J108" s="940"/>
      <c r="K108" s="940"/>
      <c r="L108" s="940"/>
    </row>
    <row r="109" spans="2:12" s="453" customFormat="1" ht="45" customHeight="1" x14ac:dyDescent="0.2">
      <c r="D109" s="940" t="s">
        <v>430</v>
      </c>
      <c r="E109" s="940"/>
      <c r="F109" s="940"/>
      <c r="G109" s="940"/>
      <c r="H109" s="940"/>
      <c r="I109" s="940"/>
      <c r="J109" s="940"/>
      <c r="K109" s="940"/>
      <c r="L109" s="940"/>
    </row>
    <row r="110" spans="2:12" s="453" customFormat="1" x14ac:dyDescent="0.2"/>
    <row r="111" spans="2:12" s="453" customFormat="1" x14ac:dyDescent="0.2"/>
    <row r="112" spans="2:12" s="453" customFormat="1" x14ac:dyDescent="0.2"/>
    <row r="113" s="453" customFormat="1" x14ac:dyDescent="0.2"/>
    <row r="114" s="453" customFormat="1" x14ac:dyDescent="0.2"/>
    <row r="115" s="453" customFormat="1" x14ac:dyDescent="0.2"/>
    <row r="116" s="453" customFormat="1" x14ac:dyDescent="0.2"/>
    <row r="135" spans="2:12" ht="21" x14ac:dyDescent="0.25">
      <c r="B135" s="724">
        <v>6</v>
      </c>
      <c r="C135" s="724" t="s">
        <v>432</v>
      </c>
      <c r="D135" s="715"/>
      <c r="E135" s="715"/>
      <c r="F135" s="715"/>
      <c r="G135" s="715"/>
      <c r="H135" s="715"/>
      <c r="I135" s="715"/>
      <c r="J135" s="715"/>
      <c r="K135" s="715"/>
      <c r="L135" s="715"/>
    </row>
    <row r="136" spans="2:12" ht="34.5" customHeight="1" x14ac:dyDescent="0.2">
      <c r="D136" s="939" t="s">
        <v>433</v>
      </c>
      <c r="E136" s="939"/>
      <c r="F136" s="939"/>
      <c r="G136" s="939"/>
      <c r="H136" s="939"/>
      <c r="I136" s="939"/>
      <c r="J136" s="939"/>
      <c r="K136" s="939"/>
      <c r="L136" s="939"/>
    </row>
    <row r="138" spans="2:12" ht="21" x14ac:dyDescent="0.25">
      <c r="B138" s="724">
        <v>7</v>
      </c>
      <c r="C138" s="724" t="s">
        <v>434</v>
      </c>
      <c r="D138" s="715"/>
      <c r="E138" s="715"/>
      <c r="F138" s="715"/>
      <c r="G138" s="715"/>
      <c r="H138" s="715"/>
      <c r="I138" s="715"/>
      <c r="J138" s="715"/>
      <c r="K138" s="715"/>
      <c r="L138" s="715"/>
    </row>
    <row r="139" spans="2:12" ht="48.75" customHeight="1" x14ac:dyDescent="0.2">
      <c r="D139" s="939" t="s">
        <v>435</v>
      </c>
      <c r="E139" s="939"/>
      <c r="F139" s="939"/>
      <c r="G139" s="939"/>
      <c r="H139" s="939"/>
      <c r="I139" s="939"/>
      <c r="J139" s="939"/>
      <c r="K139" s="939"/>
      <c r="L139" s="939"/>
    </row>
    <row r="141" spans="2:12" ht="21" x14ac:dyDescent="0.25">
      <c r="B141" s="724">
        <v>8</v>
      </c>
      <c r="C141" s="724" t="s">
        <v>436</v>
      </c>
      <c r="D141" s="715"/>
      <c r="E141" s="715"/>
      <c r="F141" s="715"/>
      <c r="G141" s="715"/>
      <c r="H141" s="715"/>
      <c r="I141" s="715"/>
      <c r="J141" s="715"/>
      <c r="K141" s="715"/>
      <c r="L141" s="715"/>
    </row>
    <row r="142" spans="2:12" ht="35.25" customHeight="1" x14ac:dyDescent="0.2">
      <c r="D142" s="940" t="s">
        <v>438</v>
      </c>
      <c r="E142" s="940"/>
      <c r="F142" s="940"/>
      <c r="G142" s="940"/>
      <c r="H142" s="940"/>
      <c r="I142" s="940"/>
      <c r="J142" s="940"/>
      <c r="K142" s="940"/>
      <c r="L142" s="940"/>
    </row>
    <row r="143" spans="2:12" hidden="1" x14ac:dyDescent="0.2"/>
    <row r="144" spans="2:12" hidden="1" x14ac:dyDescent="0.2"/>
    <row r="146" spans="2:12" ht="21" x14ac:dyDescent="0.25">
      <c r="B146" s="724">
        <v>9</v>
      </c>
      <c r="C146" s="724" t="s">
        <v>437</v>
      </c>
      <c r="D146" s="715"/>
      <c r="E146" s="715"/>
      <c r="F146" s="715"/>
      <c r="G146" s="715"/>
      <c r="H146" s="715"/>
      <c r="I146" s="715"/>
      <c r="J146" s="715"/>
      <c r="K146" s="715"/>
      <c r="L146" s="715"/>
    </row>
    <row r="147" spans="2:12" ht="33" customHeight="1" x14ac:dyDescent="0.2">
      <c r="D147" s="940" t="s">
        <v>439</v>
      </c>
      <c r="E147" s="940"/>
      <c r="F147" s="940"/>
      <c r="G147" s="940"/>
      <c r="H147" s="940"/>
      <c r="I147" s="940"/>
      <c r="J147" s="940"/>
      <c r="K147" s="940"/>
      <c r="L147" s="940"/>
    </row>
    <row r="150" spans="2:12" x14ac:dyDescent="0.2">
      <c r="B150" s="728"/>
    </row>
  </sheetData>
  <sheetProtection sheet="1" objects="1" scenarios="1"/>
  <mergeCells count="28">
    <mergeCell ref="D147:L147"/>
    <mergeCell ref="B3:J12"/>
    <mergeCell ref="D90:L90"/>
    <mergeCell ref="D91:L91"/>
    <mergeCell ref="D92:L92"/>
    <mergeCell ref="G40:L40"/>
    <mergeCell ref="F26:L26"/>
    <mergeCell ref="F27:L27"/>
    <mergeCell ref="F30:L30"/>
    <mergeCell ref="F33:L33"/>
    <mergeCell ref="D108:L108"/>
    <mergeCell ref="D109:L109"/>
    <mergeCell ref="D136:L136"/>
    <mergeCell ref="D139:L139"/>
    <mergeCell ref="D142:L142"/>
    <mergeCell ref="E87:L87"/>
    <mergeCell ref="D95:L95"/>
    <mergeCell ref="D106:L106"/>
    <mergeCell ref="D107:L107"/>
    <mergeCell ref="F19:L19"/>
    <mergeCell ref="E54:L54"/>
    <mergeCell ref="D37:L37"/>
    <mergeCell ref="I44:L44"/>
    <mergeCell ref="E51:L51"/>
    <mergeCell ref="E53:L53"/>
    <mergeCell ref="E60:L60"/>
    <mergeCell ref="E76:L77"/>
    <mergeCell ref="E81:L81"/>
  </mergeCells>
  <hyperlinks>
    <hyperlink ref="L3" location="Instructions!B13" display="Goals and Fees" xr:uid="{A71C1139-40D0-4480-9230-2B63ECB80F3F}"/>
    <hyperlink ref="L4" location="Instructions!B36" display="Business Tracker" xr:uid="{E5075AB2-81BE-4CDD-B332-B13D2BFE2BDD}"/>
    <hyperlink ref="L5" location="Instructions!B89" display="Closed Transactions" xr:uid="{1F43F6FA-F359-49E9-9308-04A75021CFF3}"/>
    <hyperlink ref="L6" location="Instructions!B98" display="YTD Summary" xr:uid="{BB1AF35B-04F5-4B96-BCE6-BEA829019A42}"/>
    <hyperlink ref="L7" location="Instructions!B110" display="PIE Tracker" xr:uid="{9C7B006D-C3CA-414D-833B-F144E73D7E65}"/>
    <hyperlink ref="L8" location="Instructions!B135" display="PIE YTD-Overview" xr:uid="{F18BFCBA-29FF-4858-B41F-803AEE794357}"/>
    <hyperlink ref="L9" location="Instructions!B143" display="PIE Planner" xr:uid="{19F7E730-CD3B-478A-9DCB-7F1967076D14}"/>
    <hyperlink ref="L10" location="Instructions!B138" display="Post Closing Calls" xr:uid="{E2755B02-F8FE-4CF3-8DCD-C9C869311F33}"/>
    <hyperlink ref="L11" location="Instructions!B146" display="Budget" xr:uid="{E4098D8C-B1B9-42CF-928A-2682E59BEF11}"/>
  </hyperlinks>
  <pageMargins left="0.7" right="0.7" top="0.75" bottom="0.75" header="0.3" footer="0.3"/>
  <pageSetup scale="72" fitToHeight="0" orientation="portrait" horizontalDpi="360" verticalDpi="360" r:id="rId1"/>
  <rowBreaks count="3" manualBreakCount="3">
    <brk id="35" max="11" man="1"/>
    <brk id="88" max="11" man="1"/>
    <brk id="134" max="11"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14</vt:i4>
      </vt:variant>
    </vt:vector>
  </HeadingPairs>
  <TitlesOfParts>
    <vt:vector size="27" baseType="lpstr">
      <vt:lpstr>Goals &amp; Fees</vt:lpstr>
      <vt:lpstr>Business Tracker</vt:lpstr>
      <vt:lpstr>Closed Transactions</vt:lpstr>
      <vt:lpstr>YTD Summary</vt:lpstr>
      <vt:lpstr>PIE Tracker</vt:lpstr>
      <vt:lpstr>PIE YTD-Overview</vt:lpstr>
      <vt:lpstr>PIE Planner</vt:lpstr>
      <vt:lpstr>RE Reviews</vt:lpstr>
      <vt:lpstr>Post Closing Calls</vt:lpstr>
      <vt:lpstr>Fee calc_closed Transactions</vt:lpstr>
      <vt:lpstr>Budget</vt:lpstr>
      <vt:lpstr>Real Estate Needs</vt:lpstr>
      <vt:lpstr>Instructions</vt:lpstr>
      <vt:lpstr>Instructions!_Hlk178865892</vt:lpstr>
      <vt:lpstr>AprPie</vt:lpstr>
      <vt:lpstr>FEBpie</vt:lpstr>
      <vt:lpstr>JANPIE</vt:lpstr>
      <vt:lpstr>MARPIE</vt:lpstr>
      <vt:lpstr>Budget!Print_Area</vt:lpstr>
      <vt:lpstr>'Business Tracker'!Print_Area</vt:lpstr>
      <vt:lpstr>'Closed Transactions'!Print_Area</vt:lpstr>
      <vt:lpstr>Instructions!Print_Area</vt:lpstr>
      <vt:lpstr>'PIE Tracker'!Print_Area</vt:lpstr>
      <vt:lpstr>'PIE YTD-Overview'!Print_Area</vt:lpstr>
      <vt:lpstr>'Post Closing Calls'!Print_Area</vt:lpstr>
      <vt:lpstr>'YTD Summary'!Print_Area</vt:lpstr>
      <vt:lpstr>'Business Tracker'!Print_Titles</vt:lpstr>
    </vt:vector>
  </TitlesOfParts>
  <Company>2024</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Johnson</dc:creator>
  <cp:lastModifiedBy>Nathan Desnoyers</cp:lastModifiedBy>
  <cp:lastPrinted>2025-06-09T15:30:28Z</cp:lastPrinted>
  <dcterms:created xsi:type="dcterms:W3CDTF">2004-06-05T14:49:02Z</dcterms:created>
  <dcterms:modified xsi:type="dcterms:W3CDTF">2025-12-15T19:58:02Z</dcterms:modified>
</cp:coreProperties>
</file>